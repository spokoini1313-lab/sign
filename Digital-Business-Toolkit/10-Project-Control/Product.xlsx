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לוח בקרה" sheetId="1" state="visible" r:id="rId1"/>
    <sheet name="שולחן עבודה" sheetId="2" state="visible" r:id="rId2"/>
    <sheet name="התחלה מהירה" sheetId="3" state="visible" r:id="rId3"/>
    <sheet name="מדריך שימו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1F4E78"/>
      <sz val="11"/>
    </font>
    <font>
      <name val="Calibri"/>
      <b val="1"/>
      <color rgb="00000000"/>
      <sz val="11"/>
    </font>
    <font>
      <name val="Calibri"/>
      <b val="1"/>
      <color rgb="00FFFFFF"/>
      <sz val="22"/>
    </font>
    <font>
      <name val="Calibri"/>
      <b val="1"/>
      <color rgb="0017365D"/>
      <sz val="10"/>
    </font>
    <font>
      <name val="Calibri"/>
      <b val="1"/>
      <color rgb="001F4E78"/>
      <sz val="18"/>
    </font>
    <font>
      <name val="Calibri"/>
      <b val="1"/>
      <color rgb="00FFFFFF"/>
      <sz val="13"/>
    </font>
    <font>
      <name val="Calibri"/>
      <color rgb="0017365D"/>
      <sz val="11"/>
    </font>
    <font>
      <name val="Calibri"/>
      <color rgb="00000000"/>
      <sz val="12"/>
    </font>
    <font>
      <name val="Calibri"/>
      <b val="1"/>
      <color rgb="001F4E78"/>
      <sz val="11"/>
    </font>
    <font>
      <name val="Calibri"/>
      <b val="1"/>
      <color rgb="0017365D"/>
      <sz val="12"/>
    </font>
    <font>
      <name val="Calibri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7C6D6"/>
      </left>
      <right style="thin">
        <color rgb="00B7C6D6"/>
      </right>
      <top style="thin">
        <color rgb="00B7C6D6"/>
      </top>
      <bottom style="thin">
        <color rgb="00B7C6D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5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0" fontId="10" fillId="5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165" fontId="0" fillId="4" borderId="1" pivotButton="0" quotePrefix="0" xfId="0"/>
    <xf numFmtId="9" fontId="0" fillId="4" borderId="1" pivotButton="0" quotePrefix="0" xfId="0"/>
    <xf numFmtId="0" fontId="0" fillId="0" borderId="1" pivotButton="0" quotePrefix="0" xfId="0"/>
    <xf numFmtId="0" fontId="11" fillId="7" borderId="0" applyAlignment="1" pivotButton="0" quotePrefix="0" xfId="0">
      <alignment horizontal="right" vertical="center" wrapText="1"/>
    </xf>
    <xf numFmtId="0" fontId="12" fillId="5" borderId="0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11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46" customHeight="1">
      <c r="B2" s="1" t="inlineStr">
        <is>
          <t>לוח בקרה — ניהול ביצוע פרויקט</t>
        </is>
      </c>
      <c r="C2" s="2" t="n"/>
      <c r="D2" s="2" t="n"/>
      <c r="E2" s="2" t="n"/>
      <c r="F2" s="2" t="n"/>
      <c r="G2" s="2" t="n"/>
    </row>
    <row r="3" ht="22" customHeight="1">
      <c r="B3" s="3" t="inlineStr">
        <is>
          <t>ContractorOS — הריצו כל פרויקט לפי לוח זמנים</t>
        </is>
      </c>
      <c r="C3" s="4" t="n"/>
      <c r="D3" s="4" t="n"/>
      <c r="E3" s="4" t="n"/>
      <c r="F3" s="4" t="n"/>
      <c r="G3" s="4" t="n"/>
    </row>
    <row r="5" ht="30" customHeight="1">
      <c r="B5" s="5" t="inlineStr">
        <is>
          <t>סה"כ משימות</t>
        </is>
      </c>
      <c r="C5" s="5" t="inlineStr">
        <is>
          <t>הושלמו</t>
        </is>
      </c>
      <c r="D5" s="5" t="inlineStr">
        <is>
          <t>בביצוע</t>
        </is>
      </c>
      <c r="E5" s="5" t="inlineStr">
        <is>
          <t>באיחור</t>
        </is>
      </c>
      <c r="F5" s="5" t="inlineStr">
        <is>
          <t>אחוז השלמת פרויקט</t>
        </is>
      </c>
      <c r="G5" s="5" t="inlineStr">
        <is>
          <t>תאריך היעד הקרוב ביותר</t>
        </is>
      </c>
    </row>
    <row r="6" ht="34" customHeight="1">
      <c r="B6" s="6">
        <f>COUNTA('שולחן עבודה'!A4:A38)</f>
        <v/>
      </c>
      <c r="C6" s="6">
        <f>COUNTIF('שולחן עבודה'!H4:H38,"הושלם")</f>
        <v/>
      </c>
      <c r="D6" s="6">
        <f>COUNTIF('שולחן עבודה'!H4:H38,"בביצוע")</f>
        <v/>
      </c>
      <c r="E6" s="6">
        <f>SUMPRODUCT((ISNUMBER('שולחן עבודה'!K4:K38))*('שולחן עבודה'!K4:K38&lt;0))</f>
        <v/>
      </c>
      <c r="F6" s="7">
        <f>IFERROR(AVERAGE('שולחן עבודה'!I4:I38),0)</f>
        <v/>
      </c>
      <c r="G6" s="8">
        <f>IF(COUNTIFS('שולחן עבודה'!H4:H38,"&lt;&gt;הושלם",'שולחן עבודה'!H4:H38,"&lt;&gt;בוטל")=0,"-",_xlfn.MINIFS('שולחן עבודה'!G4:G38,'שולחן עבודה'!H4:H38,"&lt;&gt;הושלם",'שולחן עבודה'!H4:H38,"&lt;&gt;בוטל"))</f>
        <v/>
      </c>
    </row>
    <row r="9" ht="26" customHeight="1">
      <c r="B9" s="9" t="inlineStr">
        <is>
          <t>⚠ תובנות עסקיות והתראות</t>
        </is>
      </c>
    </row>
    <row r="10" ht="22" customHeight="1">
      <c r="B10" s="10">
        <f>IF(SUMPRODUCT((ISNUMBER('שולחן עבודה'!K4:K38))*('שולחן עבודה'!K4:K38&lt;0))&gt;0,"יש "&amp;SUMPRODUCT((ISNUMBER('שולחן עבודה'!K4:K38))*('שולחן עבודה'!K4:K38&lt;0))&amp;" משימות באיחור.","אין משימות באיחור כרגע.")</f>
        <v/>
      </c>
    </row>
    <row r="11" ht="22" customHeight="1">
      <c r="B11" s="11">
        <f>IF(AVERAGE('שולחן עבודה'!I4:I38)&lt;0.5,"אחוז ההשלמה הכולל מתחת ל-50% — בדקו התקדמות.","הפרויקט מתקדם בקצב סביר.")</f>
        <v/>
      </c>
    </row>
  </sheetData>
  <mergeCells count="5">
    <mergeCell ref="B3:G3"/>
    <mergeCell ref="B2:G2"/>
    <mergeCell ref="B10:G10"/>
    <mergeCell ref="B9:G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A1:L3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1" customWidth="1" min="8" max="8"/>
    <col width="10" customWidth="1" min="9" max="9"/>
    <col width="9" customWidth="1" min="10" max="10"/>
    <col width="11" customWidth="1" min="11" max="11"/>
    <col width="20" customWidth="1" min="12" max="12"/>
  </cols>
  <sheetData>
    <row r="1" ht="44" customHeight="1">
      <c r="A1" s="12" t="inlineStr">
        <is>
          <t>ניהול ביצוע פרויקט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הזינו נתונים בתאים הצהובים בלבד — ימים שנותרו מחושבים אוטומטית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34" customHeight="1">
      <c r="A3" s="13" t="inlineStr">
        <is>
          <t>מס' משימה</t>
        </is>
      </c>
      <c r="B3" s="13" t="inlineStr">
        <is>
          <t>שם פרויקט</t>
        </is>
      </c>
      <c r="C3" s="13" t="inlineStr">
        <is>
          <t>משימה</t>
        </is>
      </c>
      <c r="D3" s="13" t="inlineStr">
        <is>
          <t>קטגוריה</t>
        </is>
      </c>
      <c r="E3" s="13" t="inlineStr">
        <is>
          <t>אחראי</t>
        </is>
      </c>
      <c r="F3" s="13" t="inlineStr">
        <is>
          <t>תאריך התחלה</t>
        </is>
      </c>
      <c r="G3" s="13" t="inlineStr">
        <is>
          <t>תאריך יעד</t>
        </is>
      </c>
      <c r="H3" s="13" t="inlineStr">
        <is>
          <t>סטטוס</t>
        </is>
      </c>
      <c r="I3" s="13" t="inlineStr">
        <is>
          <t>אחוז השלמה</t>
        </is>
      </c>
      <c r="J3" s="13" t="inlineStr">
        <is>
          <t>עדיפות</t>
        </is>
      </c>
      <c r="K3" s="13" t="inlineStr">
        <is>
          <t>ימים שנותרו</t>
        </is>
      </c>
      <c r="L3" s="13" t="inlineStr">
        <is>
          <t>הערות</t>
        </is>
      </c>
    </row>
    <row r="4">
      <c r="A4" s="14" t="inlineStr">
        <is>
          <t>T-001</t>
        </is>
      </c>
      <c r="B4" s="15" t="inlineStr">
        <is>
          <t>שיפוץ מטבח - וילה כהן</t>
        </is>
      </c>
      <c r="C4" s="15" t="inlineStr">
        <is>
          <t>פירוק והריסה</t>
        </is>
      </c>
      <c r="D4" s="15" t="inlineStr">
        <is>
          <t>הריסה</t>
        </is>
      </c>
      <c r="E4" s="15" t="inlineStr">
        <is>
          <t>דוד אזולאי</t>
        </is>
      </c>
      <c r="F4" s="16" t="n">
        <v>46032</v>
      </c>
      <c r="G4" s="16" t="n">
        <v>46034</v>
      </c>
      <c r="H4" s="14" t="inlineStr">
        <is>
          <t>הושלם</t>
        </is>
      </c>
      <c r="I4" s="17" t="n">
        <v>1</v>
      </c>
      <c r="J4" s="14" t="inlineStr">
        <is>
          <t>גבוהה</t>
        </is>
      </c>
      <c r="K4" s="18">
        <f>IF(H4="הושלם","-",IF(H4="בוטל","-",G4-TODAY()))</f>
        <v/>
      </c>
      <c r="L4" s="19" t="inlineStr"/>
    </row>
    <row r="5">
      <c r="A5" s="14" t="inlineStr">
        <is>
          <t>T-002</t>
        </is>
      </c>
      <c r="B5" s="15" t="inlineStr">
        <is>
          <t>שיפוץ מטבח - וילה כהן</t>
        </is>
      </c>
      <c r="C5" s="15" t="inlineStr">
        <is>
          <t>עבודות חשמל</t>
        </is>
      </c>
      <c r="D5" s="15" t="inlineStr">
        <is>
          <t>חשמל</t>
        </is>
      </c>
      <c r="E5" s="15" t="inlineStr">
        <is>
          <t>משה כהן</t>
        </is>
      </c>
      <c r="F5" s="16" t="n">
        <v>46034</v>
      </c>
      <c r="G5" s="16" t="n">
        <v>46040</v>
      </c>
      <c r="H5" s="14" t="inlineStr">
        <is>
          <t>בביצוע</t>
        </is>
      </c>
      <c r="I5" s="17" t="n">
        <v>0.6</v>
      </c>
      <c r="J5" s="14" t="inlineStr">
        <is>
          <t>גבוהה</t>
        </is>
      </c>
      <c r="K5" s="18">
        <f>IF(H5="הושלם","-",IF(H5="בוטל","-",G5-TODAY()))</f>
        <v/>
      </c>
      <c r="L5" s="19" t="inlineStr"/>
    </row>
    <row r="6">
      <c r="A6" s="14" t="inlineStr">
        <is>
          <t>T-003</t>
        </is>
      </c>
      <c r="B6" s="15" t="inlineStr">
        <is>
          <t>שיפוץ מטבח - וילה כהן</t>
        </is>
      </c>
      <c r="C6" s="15" t="inlineStr">
        <is>
          <t>עבודות אינסטלציה</t>
        </is>
      </c>
      <c r="D6" s="15" t="inlineStr">
        <is>
          <t>אינסטלציה</t>
        </is>
      </c>
      <c r="E6" s="15" t="inlineStr">
        <is>
          <t>רון לוי</t>
        </is>
      </c>
      <c r="F6" s="16" t="n">
        <v>46036</v>
      </c>
      <c r="G6" s="16" t="n">
        <v>46042</v>
      </c>
      <c r="H6" s="14" t="inlineStr">
        <is>
          <t>בביצוע</t>
        </is>
      </c>
      <c r="I6" s="17" t="n">
        <v>0.4</v>
      </c>
      <c r="J6" s="14" t="inlineStr">
        <is>
          <t>גבוהה</t>
        </is>
      </c>
      <c r="K6" s="18">
        <f>IF(H6="הושלם","-",IF(H6="בוטל","-",G6-TODAY()))</f>
        <v/>
      </c>
      <c r="L6" s="19" t="inlineStr"/>
    </row>
    <row r="7">
      <c r="A7" s="14" t="inlineStr">
        <is>
          <t>T-004</t>
        </is>
      </c>
      <c r="B7" s="15" t="inlineStr">
        <is>
          <t>שיפוץ מטבח - וילה כהן</t>
        </is>
      </c>
      <c r="C7" s="15" t="inlineStr">
        <is>
          <t>התקנת ארונות מטבח</t>
        </is>
      </c>
      <c r="D7" s="15" t="inlineStr">
        <is>
          <t>נגרות</t>
        </is>
      </c>
      <c r="E7" s="15" t="inlineStr">
        <is>
          <t>קבלן משנה</t>
        </is>
      </c>
      <c r="F7" s="16" t="n">
        <v>46044</v>
      </c>
      <c r="G7" s="16" t="n">
        <v>46050</v>
      </c>
      <c r="H7" s="14" t="inlineStr">
        <is>
          <t>טרם החל</t>
        </is>
      </c>
      <c r="I7" s="17" t="n">
        <v>0</v>
      </c>
      <c r="J7" s="14" t="inlineStr">
        <is>
          <t>בינונית</t>
        </is>
      </c>
      <c r="K7" s="18">
        <f>IF(H7="הושלם","-",IF(H7="בוטל","-",G7-TODAY()))</f>
        <v/>
      </c>
      <c r="L7" s="19" t="inlineStr"/>
    </row>
    <row r="8">
      <c r="A8" s="14" t="inlineStr">
        <is>
          <t>T-005</t>
        </is>
      </c>
      <c r="B8" s="15" t="inlineStr">
        <is>
          <t>שיפוץ מטבח - וילה כהן</t>
        </is>
      </c>
      <c r="C8" s="15" t="inlineStr">
        <is>
          <t>צביעה סופית</t>
        </is>
      </c>
      <c r="D8" s="15" t="inlineStr">
        <is>
          <t>צבע</t>
        </is>
      </c>
      <c r="E8" s="15" t="inlineStr">
        <is>
          <t>קבלן משנה</t>
        </is>
      </c>
      <c r="F8" s="16" t="n">
        <v>46051</v>
      </c>
      <c r="G8" s="16" t="n">
        <v>46055</v>
      </c>
      <c r="H8" s="14" t="inlineStr">
        <is>
          <t>ממתין</t>
        </is>
      </c>
      <c r="I8" s="17" t="n">
        <v>0</v>
      </c>
      <c r="J8" s="14" t="inlineStr">
        <is>
          <t>נמוכה</t>
        </is>
      </c>
      <c r="K8" s="18">
        <f>IF(H8="הושלם","-",IF(H8="בוטל","-",G8-TODAY()))</f>
        <v/>
      </c>
      <c r="L8" s="19" t="inlineStr">
        <is>
          <t>ממתין לסיום עבודות נגרות</t>
        </is>
      </c>
    </row>
    <row r="9">
      <c r="A9" s="20" t="n"/>
      <c r="B9" s="20" t="n"/>
      <c r="C9" s="20" t="n"/>
      <c r="D9" s="20" t="n"/>
      <c r="E9" s="20" t="n"/>
      <c r="F9" s="21" t="n"/>
      <c r="G9" s="21" t="n"/>
      <c r="H9" s="20" t="n"/>
      <c r="I9" s="22" t="n"/>
      <c r="J9" s="20" t="n"/>
      <c r="K9" s="23">
        <f>IF(C9="","",IF(H9="הושלם","-",IF(H9="בוטל","-",G9-TODAY())))</f>
        <v/>
      </c>
      <c r="L9" s="20" t="n"/>
    </row>
    <row r="10">
      <c r="A10" s="20" t="n"/>
      <c r="B10" s="20" t="n"/>
      <c r="C10" s="20" t="n"/>
      <c r="D10" s="20" t="n"/>
      <c r="E10" s="20" t="n"/>
      <c r="F10" s="21" t="n"/>
      <c r="G10" s="21" t="n"/>
      <c r="H10" s="20" t="n"/>
      <c r="I10" s="22" t="n"/>
      <c r="J10" s="20" t="n"/>
      <c r="K10" s="23">
        <f>IF(C10="","",IF(H10="הושלם","-",IF(H10="בוטל","-",G10-TODAY())))</f>
        <v/>
      </c>
      <c r="L10" s="20" t="n"/>
    </row>
    <row r="11">
      <c r="A11" s="20" t="n"/>
      <c r="B11" s="20" t="n"/>
      <c r="C11" s="20" t="n"/>
      <c r="D11" s="20" t="n"/>
      <c r="E11" s="20" t="n"/>
      <c r="F11" s="21" t="n"/>
      <c r="G11" s="21" t="n"/>
      <c r="H11" s="20" t="n"/>
      <c r="I11" s="22" t="n"/>
      <c r="J11" s="20" t="n"/>
      <c r="K11" s="23">
        <f>IF(C11="","",IF(H11="הושלם","-",IF(H11="בוטל","-",G11-TODAY())))</f>
        <v/>
      </c>
      <c r="L11" s="20" t="n"/>
    </row>
    <row r="12">
      <c r="A12" s="20" t="n"/>
      <c r="B12" s="20" t="n"/>
      <c r="C12" s="20" t="n"/>
      <c r="D12" s="20" t="n"/>
      <c r="E12" s="20" t="n"/>
      <c r="F12" s="21" t="n"/>
      <c r="G12" s="21" t="n"/>
      <c r="H12" s="20" t="n"/>
      <c r="I12" s="22" t="n"/>
      <c r="J12" s="20" t="n"/>
      <c r="K12" s="23">
        <f>IF(C12="","",IF(H12="הושלם","-",IF(H12="בוטל","-",G12-TODAY())))</f>
        <v/>
      </c>
      <c r="L12" s="20" t="n"/>
    </row>
    <row r="13">
      <c r="A13" s="20" t="n"/>
      <c r="B13" s="20" t="n"/>
      <c r="C13" s="20" t="n"/>
      <c r="D13" s="20" t="n"/>
      <c r="E13" s="20" t="n"/>
      <c r="F13" s="21" t="n"/>
      <c r="G13" s="21" t="n"/>
      <c r="H13" s="20" t="n"/>
      <c r="I13" s="22" t="n"/>
      <c r="J13" s="20" t="n"/>
      <c r="K13" s="23">
        <f>IF(C13="","",IF(H13="הושלם","-",IF(H13="בוטל","-",G13-TODAY())))</f>
        <v/>
      </c>
      <c r="L13" s="20" t="n"/>
    </row>
    <row r="14">
      <c r="A14" s="20" t="n"/>
      <c r="B14" s="20" t="n"/>
      <c r="C14" s="20" t="n"/>
      <c r="D14" s="20" t="n"/>
      <c r="E14" s="20" t="n"/>
      <c r="F14" s="21" t="n"/>
      <c r="G14" s="21" t="n"/>
      <c r="H14" s="20" t="n"/>
      <c r="I14" s="22" t="n"/>
      <c r="J14" s="20" t="n"/>
      <c r="K14" s="23">
        <f>IF(C14="","",IF(H14="הושלם","-",IF(H14="בוטל","-",G14-TODAY())))</f>
        <v/>
      </c>
      <c r="L14" s="20" t="n"/>
    </row>
    <row r="15">
      <c r="A15" s="20" t="n"/>
      <c r="B15" s="20" t="n"/>
      <c r="C15" s="20" t="n"/>
      <c r="D15" s="20" t="n"/>
      <c r="E15" s="20" t="n"/>
      <c r="F15" s="21" t="n"/>
      <c r="G15" s="21" t="n"/>
      <c r="H15" s="20" t="n"/>
      <c r="I15" s="22" t="n"/>
      <c r="J15" s="20" t="n"/>
      <c r="K15" s="23">
        <f>IF(C15="","",IF(H15="הושלם","-",IF(H15="בוטל","-",G15-TODAY())))</f>
        <v/>
      </c>
      <c r="L15" s="20" t="n"/>
    </row>
    <row r="16">
      <c r="A16" s="20" t="n"/>
      <c r="B16" s="20" t="n"/>
      <c r="C16" s="20" t="n"/>
      <c r="D16" s="20" t="n"/>
      <c r="E16" s="20" t="n"/>
      <c r="F16" s="21" t="n"/>
      <c r="G16" s="21" t="n"/>
      <c r="H16" s="20" t="n"/>
      <c r="I16" s="22" t="n"/>
      <c r="J16" s="20" t="n"/>
      <c r="K16" s="23">
        <f>IF(C16="","",IF(H16="הושלם","-",IF(H16="בוטל","-",G16-TODAY())))</f>
        <v/>
      </c>
      <c r="L16" s="20" t="n"/>
    </row>
    <row r="17">
      <c r="A17" s="20" t="n"/>
      <c r="B17" s="20" t="n"/>
      <c r="C17" s="20" t="n"/>
      <c r="D17" s="20" t="n"/>
      <c r="E17" s="20" t="n"/>
      <c r="F17" s="21" t="n"/>
      <c r="G17" s="21" t="n"/>
      <c r="H17" s="20" t="n"/>
      <c r="I17" s="22" t="n"/>
      <c r="J17" s="20" t="n"/>
      <c r="K17" s="23">
        <f>IF(C17="","",IF(H17="הושלם","-",IF(H17="בוטל","-",G17-TODAY())))</f>
        <v/>
      </c>
      <c r="L17" s="20" t="n"/>
    </row>
    <row r="18">
      <c r="A18" s="20" t="n"/>
      <c r="B18" s="20" t="n"/>
      <c r="C18" s="20" t="n"/>
      <c r="D18" s="20" t="n"/>
      <c r="E18" s="20" t="n"/>
      <c r="F18" s="21" t="n"/>
      <c r="G18" s="21" t="n"/>
      <c r="H18" s="20" t="n"/>
      <c r="I18" s="22" t="n"/>
      <c r="J18" s="20" t="n"/>
      <c r="K18" s="23">
        <f>IF(C18="","",IF(H18="הושלם","-",IF(H18="בוטל","-",G18-TODAY())))</f>
        <v/>
      </c>
      <c r="L18" s="20" t="n"/>
    </row>
    <row r="19">
      <c r="A19" s="20" t="n"/>
      <c r="B19" s="20" t="n"/>
      <c r="C19" s="20" t="n"/>
      <c r="D19" s="20" t="n"/>
      <c r="E19" s="20" t="n"/>
      <c r="F19" s="21" t="n"/>
      <c r="G19" s="21" t="n"/>
      <c r="H19" s="20" t="n"/>
      <c r="I19" s="22" t="n"/>
      <c r="J19" s="20" t="n"/>
      <c r="K19" s="23">
        <f>IF(C19="","",IF(H19="הושלם","-",IF(H19="בוטל","-",G19-TODAY())))</f>
        <v/>
      </c>
      <c r="L19" s="20" t="n"/>
    </row>
    <row r="20">
      <c r="A20" s="20" t="n"/>
      <c r="B20" s="20" t="n"/>
      <c r="C20" s="20" t="n"/>
      <c r="D20" s="20" t="n"/>
      <c r="E20" s="20" t="n"/>
      <c r="F20" s="21" t="n"/>
      <c r="G20" s="21" t="n"/>
      <c r="H20" s="20" t="n"/>
      <c r="I20" s="22" t="n"/>
      <c r="J20" s="20" t="n"/>
      <c r="K20" s="23">
        <f>IF(C20="","",IF(H20="הושלם","-",IF(H20="בוטל","-",G20-TODAY())))</f>
        <v/>
      </c>
      <c r="L20" s="20" t="n"/>
    </row>
    <row r="21">
      <c r="A21" s="20" t="n"/>
      <c r="B21" s="20" t="n"/>
      <c r="C21" s="20" t="n"/>
      <c r="D21" s="20" t="n"/>
      <c r="E21" s="20" t="n"/>
      <c r="F21" s="21" t="n"/>
      <c r="G21" s="21" t="n"/>
      <c r="H21" s="20" t="n"/>
      <c r="I21" s="22" t="n"/>
      <c r="J21" s="20" t="n"/>
      <c r="K21" s="23">
        <f>IF(C21="","",IF(H21="הושלם","-",IF(H21="בוטל","-",G21-TODAY())))</f>
        <v/>
      </c>
      <c r="L21" s="20" t="n"/>
    </row>
    <row r="22">
      <c r="A22" s="20" t="n"/>
      <c r="B22" s="20" t="n"/>
      <c r="C22" s="20" t="n"/>
      <c r="D22" s="20" t="n"/>
      <c r="E22" s="20" t="n"/>
      <c r="F22" s="21" t="n"/>
      <c r="G22" s="21" t="n"/>
      <c r="H22" s="20" t="n"/>
      <c r="I22" s="22" t="n"/>
      <c r="J22" s="20" t="n"/>
      <c r="K22" s="23">
        <f>IF(C22="","",IF(H22="הושלם","-",IF(H22="בוטל","-",G22-TODAY())))</f>
        <v/>
      </c>
      <c r="L22" s="20" t="n"/>
    </row>
    <row r="23">
      <c r="A23" s="20" t="n"/>
      <c r="B23" s="20" t="n"/>
      <c r="C23" s="20" t="n"/>
      <c r="D23" s="20" t="n"/>
      <c r="E23" s="20" t="n"/>
      <c r="F23" s="21" t="n"/>
      <c r="G23" s="21" t="n"/>
      <c r="H23" s="20" t="n"/>
      <c r="I23" s="22" t="n"/>
      <c r="J23" s="20" t="n"/>
      <c r="K23" s="23">
        <f>IF(C23="","",IF(H23="הושלם","-",IF(H23="בוטל","-",G23-TODAY())))</f>
        <v/>
      </c>
      <c r="L23" s="20" t="n"/>
    </row>
    <row r="24">
      <c r="A24" s="20" t="n"/>
      <c r="B24" s="20" t="n"/>
      <c r="C24" s="20" t="n"/>
      <c r="D24" s="20" t="n"/>
      <c r="E24" s="20" t="n"/>
      <c r="F24" s="21" t="n"/>
      <c r="G24" s="21" t="n"/>
      <c r="H24" s="20" t="n"/>
      <c r="I24" s="22" t="n"/>
      <c r="J24" s="20" t="n"/>
      <c r="K24" s="23">
        <f>IF(C24="","",IF(H24="הושלם","-",IF(H24="בוטל","-",G24-TODAY())))</f>
        <v/>
      </c>
      <c r="L24" s="20" t="n"/>
    </row>
    <row r="25">
      <c r="A25" s="20" t="n"/>
      <c r="B25" s="20" t="n"/>
      <c r="C25" s="20" t="n"/>
      <c r="D25" s="20" t="n"/>
      <c r="E25" s="20" t="n"/>
      <c r="F25" s="21" t="n"/>
      <c r="G25" s="21" t="n"/>
      <c r="H25" s="20" t="n"/>
      <c r="I25" s="22" t="n"/>
      <c r="J25" s="20" t="n"/>
      <c r="K25" s="23">
        <f>IF(C25="","",IF(H25="הושלם","-",IF(H25="בוטל","-",G25-TODAY())))</f>
        <v/>
      </c>
      <c r="L25" s="20" t="n"/>
    </row>
    <row r="26">
      <c r="A26" s="20" t="n"/>
      <c r="B26" s="20" t="n"/>
      <c r="C26" s="20" t="n"/>
      <c r="D26" s="20" t="n"/>
      <c r="E26" s="20" t="n"/>
      <c r="F26" s="21" t="n"/>
      <c r="G26" s="21" t="n"/>
      <c r="H26" s="20" t="n"/>
      <c r="I26" s="22" t="n"/>
      <c r="J26" s="20" t="n"/>
      <c r="K26" s="23">
        <f>IF(C26="","",IF(H26="הושלם","-",IF(H26="בוטל","-",G26-TODAY())))</f>
        <v/>
      </c>
      <c r="L26" s="20" t="n"/>
    </row>
    <row r="27">
      <c r="A27" s="20" t="n"/>
      <c r="B27" s="20" t="n"/>
      <c r="C27" s="20" t="n"/>
      <c r="D27" s="20" t="n"/>
      <c r="E27" s="20" t="n"/>
      <c r="F27" s="21" t="n"/>
      <c r="G27" s="21" t="n"/>
      <c r="H27" s="20" t="n"/>
      <c r="I27" s="22" t="n"/>
      <c r="J27" s="20" t="n"/>
      <c r="K27" s="23">
        <f>IF(C27="","",IF(H27="הושלם","-",IF(H27="בוטל","-",G27-TODAY())))</f>
        <v/>
      </c>
      <c r="L27" s="20" t="n"/>
    </row>
    <row r="28">
      <c r="A28" s="20" t="n"/>
      <c r="B28" s="20" t="n"/>
      <c r="C28" s="20" t="n"/>
      <c r="D28" s="20" t="n"/>
      <c r="E28" s="20" t="n"/>
      <c r="F28" s="21" t="n"/>
      <c r="G28" s="21" t="n"/>
      <c r="H28" s="20" t="n"/>
      <c r="I28" s="22" t="n"/>
      <c r="J28" s="20" t="n"/>
      <c r="K28" s="23">
        <f>IF(C28="","",IF(H28="הושלם","-",IF(H28="בוטל","-",G28-TODAY())))</f>
        <v/>
      </c>
      <c r="L28" s="20" t="n"/>
    </row>
    <row r="29">
      <c r="A29" s="20" t="n"/>
      <c r="B29" s="20" t="n"/>
      <c r="C29" s="20" t="n"/>
      <c r="D29" s="20" t="n"/>
      <c r="E29" s="20" t="n"/>
      <c r="F29" s="21" t="n"/>
      <c r="G29" s="21" t="n"/>
      <c r="H29" s="20" t="n"/>
      <c r="I29" s="22" t="n"/>
      <c r="J29" s="20" t="n"/>
      <c r="K29" s="23">
        <f>IF(C29="","",IF(H29="הושלם","-",IF(H29="בוטל","-",G29-TODAY())))</f>
        <v/>
      </c>
      <c r="L29" s="20" t="n"/>
    </row>
    <row r="30">
      <c r="A30" s="20" t="n"/>
      <c r="B30" s="20" t="n"/>
      <c r="C30" s="20" t="n"/>
      <c r="D30" s="20" t="n"/>
      <c r="E30" s="20" t="n"/>
      <c r="F30" s="21" t="n"/>
      <c r="G30" s="21" t="n"/>
      <c r="H30" s="20" t="n"/>
      <c r="I30" s="22" t="n"/>
      <c r="J30" s="20" t="n"/>
      <c r="K30" s="23">
        <f>IF(C30="","",IF(H30="הושלם","-",IF(H30="בוטל","-",G30-TODAY())))</f>
        <v/>
      </c>
      <c r="L30" s="20" t="n"/>
    </row>
    <row r="31">
      <c r="A31" s="20" t="n"/>
      <c r="B31" s="20" t="n"/>
      <c r="C31" s="20" t="n"/>
      <c r="D31" s="20" t="n"/>
      <c r="E31" s="20" t="n"/>
      <c r="F31" s="21" t="n"/>
      <c r="G31" s="21" t="n"/>
      <c r="H31" s="20" t="n"/>
      <c r="I31" s="22" t="n"/>
      <c r="J31" s="20" t="n"/>
      <c r="K31" s="23">
        <f>IF(C31="","",IF(H31="הושלם","-",IF(H31="בוטל","-",G31-TODAY())))</f>
        <v/>
      </c>
      <c r="L31" s="20" t="n"/>
    </row>
    <row r="32">
      <c r="A32" s="20" t="n"/>
      <c r="B32" s="20" t="n"/>
      <c r="C32" s="20" t="n"/>
      <c r="D32" s="20" t="n"/>
      <c r="E32" s="20" t="n"/>
      <c r="F32" s="21" t="n"/>
      <c r="G32" s="21" t="n"/>
      <c r="H32" s="20" t="n"/>
      <c r="I32" s="22" t="n"/>
      <c r="J32" s="20" t="n"/>
      <c r="K32" s="23">
        <f>IF(C32="","",IF(H32="הושלם","-",IF(H32="בוטל","-",G32-TODAY())))</f>
        <v/>
      </c>
      <c r="L32" s="20" t="n"/>
    </row>
    <row r="33">
      <c r="A33" s="20" t="n"/>
      <c r="B33" s="20" t="n"/>
      <c r="C33" s="20" t="n"/>
      <c r="D33" s="20" t="n"/>
      <c r="E33" s="20" t="n"/>
      <c r="F33" s="21" t="n"/>
      <c r="G33" s="21" t="n"/>
      <c r="H33" s="20" t="n"/>
      <c r="I33" s="22" t="n"/>
      <c r="J33" s="20" t="n"/>
      <c r="K33" s="23">
        <f>IF(C33="","",IF(H33="הושלם","-",IF(H33="בוטל","-",G33-TODAY())))</f>
        <v/>
      </c>
      <c r="L33" s="20" t="n"/>
    </row>
    <row r="34">
      <c r="A34" s="20" t="n"/>
      <c r="B34" s="20" t="n"/>
      <c r="C34" s="20" t="n"/>
      <c r="D34" s="20" t="n"/>
      <c r="E34" s="20" t="n"/>
      <c r="F34" s="21" t="n"/>
      <c r="G34" s="21" t="n"/>
      <c r="H34" s="20" t="n"/>
      <c r="I34" s="22" t="n"/>
      <c r="J34" s="20" t="n"/>
      <c r="K34" s="23">
        <f>IF(C34="","",IF(H34="הושלם","-",IF(H34="בוטל","-",G34-TODAY())))</f>
        <v/>
      </c>
      <c r="L34" s="20" t="n"/>
    </row>
    <row r="35">
      <c r="A35" s="20" t="n"/>
      <c r="B35" s="20" t="n"/>
      <c r="C35" s="20" t="n"/>
      <c r="D35" s="20" t="n"/>
      <c r="E35" s="20" t="n"/>
      <c r="F35" s="21" t="n"/>
      <c r="G35" s="21" t="n"/>
      <c r="H35" s="20" t="n"/>
      <c r="I35" s="22" t="n"/>
      <c r="J35" s="20" t="n"/>
      <c r="K35" s="23">
        <f>IF(C35="","",IF(H35="הושלם","-",IF(H35="בוטל","-",G35-TODAY())))</f>
        <v/>
      </c>
      <c r="L35" s="20" t="n"/>
    </row>
    <row r="36">
      <c r="A36" s="20" t="n"/>
      <c r="B36" s="20" t="n"/>
      <c r="C36" s="20" t="n"/>
      <c r="D36" s="20" t="n"/>
      <c r="E36" s="20" t="n"/>
      <c r="F36" s="21" t="n"/>
      <c r="G36" s="21" t="n"/>
      <c r="H36" s="20" t="n"/>
      <c r="I36" s="22" t="n"/>
      <c r="J36" s="20" t="n"/>
      <c r="K36" s="23">
        <f>IF(C36="","",IF(H36="הושלם","-",IF(H36="בוטל","-",G36-TODAY())))</f>
        <v/>
      </c>
      <c r="L36" s="20" t="n"/>
    </row>
    <row r="37">
      <c r="A37" s="20" t="n"/>
      <c r="B37" s="20" t="n"/>
      <c r="C37" s="20" t="n"/>
      <c r="D37" s="20" t="n"/>
      <c r="E37" s="20" t="n"/>
      <c r="F37" s="21" t="n"/>
      <c r="G37" s="21" t="n"/>
      <c r="H37" s="20" t="n"/>
      <c r="I37" s="22" t="n"/>
      <c r="J37" s="20" t="n"/>
      <c r="K37" s="23">
        <f>IF(C37="","",IF(H37="הושלם","-",IF(H37="בוטל","-",G37-TODAY())))</f>
        <v/>
      </c>
      <c r="L37" s="20" t="n"/>
    </row>
    <row r="38">
      <c r="A38" s="20" t="n"/>
      <c r="B38" s="20" t="n"/>
      <c r="C38" s="20" t="n"/>
      <c r="D38" s="20" t="n"/>
      <c r="E38" s="20" t="n"/>
      <c r="F38" s="21" t="n"/>
      <c r="G38" s="21" t="n"/>
      <c r="H38" s="20" t="n"/>
      <c r="I38" s="22" t="n"/>
      <c r="J38" s="20" t="n"/>
      <c r="K38" s="23">
        <f>IF(C38="","",IF(H38="הושלם","-",IF(H38="בוטל","-",G38-TODAY())))</f>
        <v/>
      </c>
      <c r="L38" s="20" t="n"/>
    </row>
  </sheetData>
  <mergeCells count="2">
    <mergeCell ref="A2:L2"/>
    <mergeCell ref="A1:L1"/>
  </mergeCells>
  <conditionalFormatting sqref="H4:H38">
    <cfRule type="expression" priority="1" dxfId="0">
      <formula>$H4="הושלם"</formula>
    </cfRule>
    <cfRule type="expression" priority="2" dxfId="1">
      <formula>$H4="בביצוע"</formula>
    </cfRule>
    <cfRule type="expression" priority="3" dxfId="2">
      <formula>OR($H4="ממתין",$H4="בוטל")</formula>
    </cfRule>
  </conditionalFormatting>
  <conditionalFormatting sqref="K4:K38">
    <cfRule type="expression" priority="4" dxfId="3">
      <formula>AND(ISNUMBER(K4),K4&lt;0)</formula>
    </cfRule>
    <cfRule type="expression" priority="5" dxfId="1">
      <formula>AND(ISNUMBER(K4),K4&gt;=0,K4&lt;=2)</formula>
    </cfRule>
  </conditionalFormatting>
  <dataValidations count="2">
    <dataValidation sqref="H4:H38" showDropDown="0" showInputMessage="0" showErrorMessage="0" allowBlank="1" type="list">
      <formula1>"טרם החל,בביצוע,ממתין,הושלם,בוטל"</formula1>
    </dataValidation>
    <dataValidation sqref="J4:J38" showDropDown="0" showInputMessage="0" showErrorMessage="0" allowBlank="1" type="list">
      <formula1>"גבוהה,בינונית,נמוכה"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F0D9"/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4" customHeight="1">
      <c r="A1" s="12" t="inlineStr">
        <is>
          <t>התחלה מהירה</t>
        </is>
      </c>
      <c r="B1" s="2" t="n"/>
    </row>
    <row r="2" ht="24" customHeight="1">
      <c r="A2" s="3" t="inlineStr">
        <is>
          <t>5 צעדים ואתם בפנים</t>
        </is>
      </c>
      <c r="B2" s="4" t="n"/>
    </row>
    <row r="4" ht="34" customHeight="1">
      <c r="A4" s="24" t="inlineStr">
        <is>
          <t>1. עברו ללשונית 'שולחן עבודה'.</t>
        </is>
      </c>
    </row>
    <row r="6" ht="34" customHeight="1">
      <c r="A6" s="24" t="inlineStr">
        <is>
          <t>2. פרקו את הפרויקט למשימות — הוסיפו שורה לכל משימה עם שם הפרויקט, אחראי ותאריכים.</t>
        </is>
      </c>
    </row>
    <row r="8" ht="34" customHeight="1">
      <c r="A8" s="24" t="inlineStr">
        <is>
          <t>3. עדכנו סטטוס ואחוז השלמה ככל שהעבודה מתקדמת.</t>
        </is>
      </c>
    </row>
    <row r="10" ht="34" customHeight="1">
      <c r="A10" s="24" t="inlineStr">
        <is>
          <t>4. הימים שנותרו לתאריך היעד מחושבים אוטומטית — שליליים = איחור.</t>
        </is>
      </c>
    </row>
    <row r="12" ht="34" customHeight="1">
      <c r="A12" s="24" t="inlineStr">
        <is>
          <t>5. עברו ל-לוח הבקרה לראות כמה משימות הושלמו, כמה באיחור, ומה אחוז ההשלמה הכולל.</t>
        </is>
      </c>
    </row>
    <row r="14" ht="40" customHeight="1">
      <c r="A14" s="25" t="inlineStr">
        <is>
          <t>טיפ: עדכנו סטטוס משימות מדי יום — כך הדוח תמיד משקף את המצב האמיתי בשטח. השתמשו באותו שם פרויקט כמו בשאר המוצרים.</t>
        </is>
      </c>
    </row>
  </sheetData>
  <mergeCells count="8">
    <mergeCell ref="A4:B4"/>
    <mergeCell ref="A2:B2"/>
    <mergeCell ref="A10:B10"/>
    <mergeCell ref="A14:B14"/>
    <mergeCell ref="A1:B1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EAF7"/>
    <outlinePr summaryBelow="1" summaryRight="1"/>
    <pageSetUpPr/>
  </sheetPr>
  <dimension ref="A1:C16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44" customHeight="1">
      <c r="A1" s="12" t="inlineStr">
        <is>
          <t>מדריך שימוש</t>
        </is>
      </c>
      <c r="B1" s="2" t="n"/>
      <c r="C1" s="2" t="n"/>
    </row>
    <row r="2" ht="24" customHeight="1">
      <c r="A2" s="3" t="inlineStr">
        <is>
          <t>הסבר מלא לכל שדה ולכל חישוב</t>
        </is>
      </c>
      <c r="B2" s="4" t="n"/>
      <c r="C2" s="4" t="n"/>
    </row>
    <row r="4" ht="46" customHeight="1">
      <c r="B4" s="26" t="inlineStr">
        <is>
          <t>מה זה?</t>
        </is>
      </c>
      <c r="C4" s="27" t="inlineStr">
        <is>
          <t>כלי לניהול ביצוע פרויקט — פירוק לפי משימות, אחראים ותאריכי יעד.</t>
        </is>
      </c>
    </row>
    <row r="5" ht="46" customHeight="1">
      <c r="B5" s="26" t="inlineStr">
        <is>
          <t>למי זה מתאים?</t>
        </is>
      </c>
      <c r="C5" s="27" t="inlineStr">
        <is>
          <t>קבלנים שמנהלים פרויקטים עם כמה שלבי עבודה ואחראים שונים.</t>
        </is>
      </c>
    </row>
    <row r="6" ht="46" customHeight="1">
      <c r="B6" s="26" t="inlineStr">
        <is>
          <t>איזו בעיה זה פותר?</t>
        </is>
      </c>
      <c r="C6" s="27" t="inlineStr">
        <is>
          <t>משימות שנשכחות או מתעכבות בלי שאף אחד שם לב עד שכבר מאוחר.</t>
        </is>
      </c>
    </row>
    <row r="7" ht="46" customHeight="1">
      <c r="B7" s="26" t="inlineStr">
        <is>
          <t>איך מתחילים?</t>
        </is>
      </c>
      <c r="C7" s="27" t="inlineStr">
        <is>
          <t>פרקו את הפרויקט למשימות קטנות וברות-מדידה, עם אחראי ותאריך יעד לכל אחת.</t>
        </is>
      </c>
    </row>
    <row r="8" ht="46" customHeight="1">
      <c r="B8" s="26" t="inlineStr">
        <is>
          <t>מה צריך להזין?</t>
        </is>
      </c>
      <c r="C8" s="27" t="inlineStr">
        <is>
          <t>מספר משימה, שם פרויקט, שם המשימה, קטגוריה, אחראי, תאריך התחלה, תאריך יעד, סטטוס, אחוז השלמה, עדיפות.</t>
        </is>
      </c>
    </row>
    <row r="9" ht="46" customHeight="1">
      <c r="B9" s="26" t="inlineStr">
        <is>
          <t>מה מחושב אוטומטית?</t>
        </is>
      </c>
      <c r="C9" s="27" t="inlineStr">
        <is>
          <t>ימים שנותרו לתאריך היעד (שלילי = באיחור).</t>
        </is>
      </c>
    </row>
    <row r="10" ht="46" customHeight="1">
      <c r="B10" s="26" t="inlineStr">
        <is>
          <t>מה לוח הבקרה מציג?</t>
        </is>
      </c>
      <c r="C10" s="27" t="inlineStr">
        <is>
          <t>סה"כ משימות, הושלמו, בביצוע, באיחור, אחוז השלמה כולל, ותאריך היעד הקרוב ביותר.</t>
        </is>
      </c>
    </row>
    <row r="11" ht="46" customHeight="1">
      <c r="B11" s="26" t="inlineStr">
        <is>
          <t>טיפים</t>
        </is>
      </c>
      <c r="C11" s="27" t="inlineStr">
        <is>
          <t>1) עדכנו סטטוס יומי. 2) תעדפו משימות עם 'ימים שנותרו' נמוך או שלילי.</t>
        </is>
      </c>
    </row>
    <row r="13">
      <c r="B13" s="28" t="inlineStr">
        <is>
          <t>שאלות נפוצות</t>
        </is>
      </c>
    </row>
    <row r="14" ht="40" customHeight="1">
      <c r="B14" s="29" t="inlineStr">
        <is>
          <t>איך 'ימים שנותרו' מחושב?</t>
        </is>
      </c>
      <c r="C14" s="27" t="inlineStr">
        <is>
          <t>תאריך היעד פחות תאריך היום. מספר שלילי = המשימה באיחור.</t>
        </is>
      </c>
    </row>
    <row r="15" ht="40" customHeight="1">
      <c r="B15" s="29" t="inlineStr">
        <is>
          <t>מה קורה כשמשימה מסומנת 'הושלם'?</t>
        </is>
      </c>
      <c r="C15" s="27" t="inlineStr">
        <is>
          <t>עמודת 'ימים שנותרו' מציגה '-' במקום מספר, כי היא כבר לא רלוונטית.</t>
        </is>
      </c>
    </row>
    <row r="16" ht="40" customHeight="1">
      <c r="B16" s="29" t="inlineStr">
        <is>
          <t>אפשר לנהל כמה פרויקטים בו-זמנית?</t>
        </is>
      </c>
      <c r="C16" s="27" t="inlineStr">
        <is>
          <t>כן — כל שורה משויכת לשם פרויקט, כך שאפשר לסנן או למיין לפי פרויקט בודד.</t>
        </is>
      </c>
    </row>
  </sheetData>
  <mergeCells count="3">
    <mergeCell ref="A1:C1"/>
    <mergeCell ref="B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2026-09-13T19:00:19Z</dcterms:created>
  <dcterms:modified xsi:type="dcterms:W3CDTF">2026-09-13T19:00:19Z</dcterms:modified>
</cp:coreProperties>
</file>