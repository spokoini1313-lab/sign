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5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11" fillId="7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ניהול מלאי וחומרים</t>
        </is>
      </c>
      <c r="C2" s="2" t="n"/>
      <c r="D2" s="2" t="n"/>
      <c r="E2" s="2" t="n"/>
      <c r="F2" s="2" t="n"/>
    </row>
    <row r="3" ht="22" customHeight="1">
      <c r="B3" s="3" t="inlineStr">
        <is>
          <t>ContractorOS — לעולם לא תיתקעו בלי חומר באמצע עבודה</t>
        </is>
      </c>
      <c r="C3" s="4" t="n"/>
      <c r="D3" s="4" t="n"/>
      <c r="E3" s="4" t="n"/>
      <c r="F3" s="4" t="n"/>
    </row>
    <row r="5" ht="30" customHeight="1">
      <c r="B5" s="5" t="inlineStr">
        <is>
          <t>שווי מלאי כולל (₪)</t>
        </is>
      </c>
      <c r="C5" s="5" t="inlineStr">
        <is>
          <t>מס' פריטים</t>
        </is>
      </c>
      <c r="D5" s="5" t="inlineStr">
        <is>
          <t>מלאי נמוך</t>
        </is>
      </c>
      <c r="E5" s="5" t="inlineStr">
        <is>
          <t>אזל מהמלאי</t>
        </is>
      </c>
      <c r="F5" s="5" t="inlineStr">
        <is>
          <t>פריט יקר ביותר (₪)</t>
        </is>
      </c>
    </row>
    <row r="6" ht="34" customHeight="1">
      <c r="B6" s="6">
        <f>SUM('שולחן עבודה'!H4:H38)</f>
        <v/>
      </c>
      <c r="C6" s="6">
        <f>COUNTA('שולחן עבודה'!A4:A38)</f>
        <v/>
      </c>
      <c r="D6" s="6">
        <f>COUNTIF('שולחן עבודה'!J4:J38,"מלאי נמוך - להזמין")</f>
        <v/>
      </c>
      <c r="E6" s="6">
        <f>COUNTIF('שולחן עבודה'!J4:J38,"אזל מהמלאי")</f>
        <v/>
      </c>
      <c r="F6" s="6">
        <f>IFERROR(MAX('שולחן עבודה'!H4:H38),0)</f>
        <v/>
      </c>
    </row>
    <row r="9" ht="26" customHeight="1">
      <c r="B9" s="7" t="inlineStr">
        <is>
          <t>⚠ תובנות עסקיות והתראות</t>
        </is>
      </c>
    </row>
    <row r="10" ht="22" customHeight="1">
      <c r="B10" s="8">
        <f>IF(COUNTIF('שולחן עבודה'!J4:J38,"אזל מהמלאי")&gt;0,"יש "&amp;COUNTIF('שולחן עבודה'!J4:J38,"אזל מהמלאי")&amp;" פריטים שאזלו מהמלאי!","אין פריטים שאזלו מהמלאי.")</f>
        <v/>
      </c>
    </row>
    <row r="11" ht="22" customHeight="1">
      <c r="B11" s="9">
        <f>IF(COUNTIF('שולחן עבודה'!J4:J38,"מלאי נמוך - להזמין")&gt;0,"יש "&amp;COUNTIF('שולחן עבודה'!J4:J38,"מלאי נמוך - להזמין")&amp;" פריטים במלאי נמוך — כדאי להזמין.","כל הפריטים ברמת מלאי תקינה.")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J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9" customWidth="1" min="4" max="4"/>
    <col width="10" customWidth="1" min="5" max="5"/>
    <col width="13" customWidth="1" min="6" max="6"/>
    <col width="12" customWidth="1" min="7" max="7"/>
    <col width="12" customWidth="1" min="8" max="8"/>
    <col width="18" customWidth="1" min="9" max="9"/>
    <col width="13" customWidth="1" min="10" max="10"/>
  </cols>
  <sheetData>
    <row r="1" ht="44" customHeight="1">
      <c r="A1" s="10" t="inlineStr">
        <is>
          <t>ניהול מלאי וחומרים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הזינו נתונים בתאים הצהובים בלבד — שווי מלאי וסטטוס מחושבים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34" customHeight="1">
      <c r="A3" s="11" t="inlineStr">
        <is>
          <t>מק"ט</t>
        </is>
      </c>
      <c r="B3" s="11" t="inlineStr">
        <is>
          <t>שם פריט</t>
        </is>
      </c>
      <c r="C3" s="11" t="inlineStr">
        <is>
          <t>קטגוריה</t>
        </is>
      </c>
      <c r="D3" s="11" t="inlineStr">
        <is>
          <t>יחידה</t>
        </is>
      </c>
      <c r="E3" s="11" t="inlineStr">
        <is>
          <t>כמות</t>
        </is>
      </c>
      <c r="F3" s="11" t="inlineStr">
        <is>
          <t>מלאי מינימום</t>
        </is>
      </c>
      <c r="G3" s="11" t="inlineStr">
        <is>
          <t>עלות יחידה (₪)</t>
        </is>
      </c>
      <c r="H3" s="11" t="inlineStr">
        <is>
          <t>שווי מלאי (₪)</t>
        </is>
      </c>
      <c r="I3" s="11" t="inlineStr">
        <is>
          <t>ספק</t>
        </is>
      </c>
      <c r="J3" s="11" t="inlineStr">
        <is>
          <t>סטטוס</t>
        </is>
      </c>
    </row>
    <row r="4">
      <c r="A4" s="12" t="inlineStr">
        <is>
          <t>EL-001</t>
        </is>
      </c>
      <c r="B4" s="13" t="inlineStr">
        <is>
          <t>כבל חשמל 2.5 מ"מ (גליל)</t>
        </is>
      </c>
      <c r="C4" s="12" t="inlineStr">
        <is>
          <t>חשמל</t>
        </is>
      </c>
      <c r="D4" s="12" t="inlineStr">
        <is>
          <t>גליל</t>
        </is>
      </c>
      <c r="E4" s="12" t="n">
        <v>8</v>
      </c>
      <c r="F4" s="12" t="n">
        <v>5</v>
      </c>
      <c r="G4" s="14" t="n">
        <v>220</v>
      </c>
      <c r="H4" s="15">
        <f>E4*G4</f>
        <v/>
      </c>
      <c r="I4" s="13" t="inlineStr">
        <is>
          <t>חשמל ישיר בע"מ</t>
        </is>
      </c>
      <c r="J4" s="16">
        <f>IF(E4&lt;=0,"אזל מהמלאי",IF(E4&lt;=F4,"מלאי נמוך - להזמין","תקין"))</f>
        <v/>
      </c>
    </row>
    <row r="5">
      <c r="A5" s="12" t="inlineStr">
        <is>
          <t>EL-002</t>
        </is>
      </c>
      <c r="B5" s="13" t="inlineStr">
        <is>
          <t>שקע חשמל משולב</t>
        </is>
      </c>
      <c r="C5" s="12" t="inlineStr">
        <is>
          <t>חשמל</t>
        </is>
      </c>
      <c r="D5" s="12" t="inlineStr">
        <is>
          <t>יח'</t>
        </is>
      </c>
      <c r="E5" s="12" t="n">
        <v>40</v>
      </c>
      <c r="F5" s="12" t="n">
        <v>20</v>
      </c>
      <c r="G5" s="14" t="n">
        <v>18</v>
      </c>
      <c r="H5" s="15">
        <f>E5*G5</f>
        <v/>
      </c>
      <c r="I5" s="13" t="inlineStr">
        <is>
          <t>חשמל ישיר בע"מ</t>
        </is>
      </c>
      <c r="J5" s="16">
        <f>IF(E5&lt;=0,"אזל מהמלאי",IF(E5&lt;=F5,"מלאי נמוך - להזמין","תקין"))</f>
        <v/>
      </c>
    </row>
    <row r="6">
      <c r="A6" s="12" t="inlineStr">
        <is>
          <t>PL-001</t>
        </is>
      </c>
      <c r="B6" s="13" t="inlineStr">
        <is>
          <t>צינור PVC 1 אינץ'</t>
        </is>
      </c>
      <c r="C6" s="12" t="inlineStr">
        <is>
          <t>אינסטלציה</t>
        </is>
      </c>
      <c r="D6" s="12" t="inlineStr">
        <is>
          <t>מ"א</t>
        </is>
      </c>
      <c r="E6" s="12" t="n">
        <v>15</v>
      </c>
      <c r="F6" s="12" t="n">
        <v>10</v>
      </c>
      <c r="G6" s="14" t="n">
        <v>12</v>
      </c>
      <c r="H6" s="15">
        <f>E6*G6</f>
        <v/>
      </c>
      <c r="I6" s="13" t="inlineStr">
        <is>
          <t>אינסטל פלוס</t>
        </is>
      </c>
      <c r="J6" s="16">
        <f>IF(E6&lt;=0,"אזל מהמלאי",IF(E6&lt;=F6,"מלאי נמוך - להזמין","תקין"))</f>
        <v/>
      </c>
    </row>
    <row r="7">
      <c r="A7" s="12" t="inlineStr">
        <is>
          <t>PT-001</t>
        </is>
      </c>
      <c r="B7" s="13" t="inlineStr">
        <is>
          <t>צבע פנים לבן 18 ליטר</t>
        </is>
      </c>
      <c r="C7" s="12" t="inlineStr">
        <is>
          <t>צבע</t>
        </is>
      </c>
      <c r="D7" s="12" t="inlineStr">
        <is>
          <t>קופסה</t>
        </is>
      </c>
      <c r="E7" s="12" t="n">
        <v>2</v>
      </c>
      <c r="F7" s="12" t="n">
        <v>3</v>
      </c>
      <c r="G7" s="14" t="n">
        <v>180</v>
      </c>
      <c r="H7" s="15">
        <f>E7*G7</f>
        <v/>
      </c>
      <c r="I7" s="13" t="inlineStr">
        <is>
          <t>צבעי הצפון</t>
        </is>
      </c>
      <c r="J7" s="16">
        <f>IF(E7&lt;=0,"אזל מהמלאי",IF(E7&lt;=F7,"מלאי נמוך - להזמין","תקין"))</f>
        <v/>
      </c>
    </row>
    <row r="8">
      <c r="A8" s="12" t="inlineStr">
        <is>
          <t>GB-001</t>
        </is>
      </c>
      <c r="B8" s="13" t="inlineStr">
        <is>
          <t>לוח גבס 12.5 מ"מ</t>
        </is>
      </c>
      <c r="C8" s="12" t="inlineStr">
        <is>
          <t>גבס</t>
        </is>
      </c>
      <c r="D8" s="12" t="inlineStr">
        <is>
          <t>יח'</t>
        </is>
      </c>
      <c r="E8" s="12" t="n">
        <v>6</v>
      </c>
      <c r="F8" s="12" t="n">
        <v>10</v>
      </c>
      <c r="G8" s="14" t="n">
        <v>45</v>
      </c>
      <c r="H8" s="15">
        <f>E8*G8</f>
        <v/>
      </c>
      <c r="I8" s="13" t="inlineStr">
        <is>
          <t>גבסטון</t>
        </is>
      </c>
      <c r="J8" s="16">
        <f>IF(E8&lt;=0,"אזל מהמלאי",IF(E8&lt;=F8,"מלאי נמוך - להזמין","תקין"))</f>
        <v/>
      </c>
    </row>
    <row r="9">
      <c r="A9" s="17" t="n"/>
      <c r="B9" s="17" t="n"/>
      <c r="C9" s="17" t="n"/>
      <c r="D9" s="17" t="n"/>
      <c r="E9" s="17" t="n"/>
      <c r="F9" s="17" t="n"/>
      <c r="G9" s="18" t="n"/>
      <c r="H9" s="19">
        <f>IF(A9="","",E9*G9)</f>
        <v/>
      </c>
      <c r="I9" s="17" t="n"/>
      <c r="J9" s="20">
        <f>IF(A9="","",IF(E9&lt;=0,"אזל מהמלאי",IF(E9&lt;=F9,"מלאי נמוך - להזמין","תקין")))</f>
        <v/>
      </c>
    </row>
    <row r="10">
      <c r="A10" s="17" t="n"/>
      <c r="B10" s="17" t="n"/>
      <c r="C10" s="17" t="n"/>
      <c r="D10" s="17" t="n"/>
      <c r="E10" s="17" t="n"/>
      <c r="F10" s="17" t="n"/>
      <c r="G10" s="18" t="n"/>
      <c r="H10" s="19">
        <f>IF(A10="","",E10*G10)</f>
        <v/>
      </c>
      <c r="I10" s="17" t="n"/>
      <c r="J10" s="20">
        <f>IF(A10="","",IF(E10&lt;=0,"אזל מהמלאי",IF(E10&lt;=F10,"מלאי נמוך - להזמין","תקין")))</f>
        <v/>
      </c>
    </row>
    <row r="11">
      <c r="A11" s="17" t="n"/>
      <c r="B11" s="17" t="n"/>
      <c r="C11" s="17" t="n"/>
      <c r="D11" s="17" t="n"/>
      <c r="E11" s="17" t="n"/>
      <c r="F11" s="17" t="n"/>
      <c r="G11" s="18" t="n"/>
      <c r="H11" s="19">
        <f>IF(A11="","",E11*G11)</f>
        <v/>
      </c>
      <c r="I11" s="17" t="n"/>
      <c r="J11" s="20">
        <f>IF(A11="","",IF(E11&lt;=0,"אזל מהמלאי",IF(E11&lt;=F11,"מלאי נמוך - להזמין","תקין")))</f>
        <v/>
      </c>
    </row>
    <row r="12">
      <c r="A12" s="17" t="n"/>
      <c r="B12" s="17" t="n"/>
      <c r="C12" s="17" t="n"/>
      <c r="D12" s="17" t="n"/>
      <c r="E12" s="17" t="n"/>
      <c r="F12" s="17" t="n"/>
      <c r="G12" s="18" t="n"/>
      <c r="H12" s="19">
        <f>IF(A12="","",E12*G12)</f>
        <v/>
      </c>
      <c r="I12" s="17" t="n"/>
      <c r="J12" s="20">
        <f>IF(A12="","",IF(E12&lt;=0,"אזל מהמלאי",IF(E12&lt;=F12,"מלאי נמוך - להזמין","תקין")))</f>
        <v/>
      </c>
    </row>
    <row r="13">
      <c r="A13" s="17" t="n"/>
      <c r="B13" s="17" t="n"/>
      <c r="C13" s="17" t="n"/>
      <c r="D13" s="17" t="n"/>
      <c r="E13" s="17" t="n"/>
      <c r="F13" s="17" t="n"/>
      <c r="G13" s="18" t="n"/>
      <c r="H13" s="19">
        <f>IF(A13="","",E13*G13)</f>
        <v/>
      </c>
      <c r="I13" s="17" t="n"/>
      <c r="J13" s="20">
        <f>IF(A13="","",IF(E13&lt;=0,"אזל מהמלאי",IF(E13&lt;=F13,"מלאי נמוך - להזמין","תקין")))</f>
        <v/>
      </c>
    </row>
    <row r="14">
      <c r="A14" s="17" t="n"/>
      <c r="B14" s="17" t="n"/>
      <c r="C14" s="17" t="n"/>
      <c r="D14" s="17" t="n"/>
      <c r="E14" s="17" t="n"/>
      <c r="F14" s="17" t="n"/>
      <c r="G14" s="18" t="n"/>
      <c r="H14" s="19">
        <f>IF(A14="","",E14*G14)</f>
        <v/>
      </c>
      <c r="I14" s="17" t="n"/>
      <c r="J14" s="20">
        <f>IF(A14="","",IF(E14&lt;=0,"אזל מהמלאי",IF(E14&lt;=F14,"מלאי נמוך - להזמין","תקין")))</f>
        <v/>
      </c>
    </row>
    <row r="15">
      <c r="A15" s="17" t="n"/>
      <c r="B15" s="17" t="n"/>
      <c r="C15" s="17" t="n"/>
      <c r="D15" s="17" t="n"/>
      <c r="E15" s="17" t="n"/>
      <c r="F15" s="17" t="n"/>
      <c r="G15" s="18" t="n"/>
      <c r="H15" s="19">
        <f>IF(A15="","",E15*G15)</f>
        <v/>
      </c>
      <c r="I15" s="17" t="n"/>
      <c r="J15" s="20">
        <f>IF(A15="","",IF(E15&lt;=0,"אזל מהמלאי",IF(E15&lt;=F15,"מלאי נמוך - להזמין","תקין")))</f>
        <v/>
      </c>
    </row>
    <row r="16">
      <c r="A16" s="17" t="n"/>
      <c r="B16" s="17" t="n"/>
      <c r="C16" s="17" t="n"/>
      <c r="D16" s="17" t="n"/>
      <c r="E16" s="17" t="n"/>
      <c r="F16" s="17" t="n"/>
      <c r="G16" s="18" t="n"/>
      <c r="H16" s="19">
        <f>IF(A16="","",E16*G16)</f>
        <v/>
      </c>
      <c r="I16" s="17" t="n"/>
      <c r="J16" s="20">
        <f>IF(A16="","",IF(E16&lt;=0,"אזל מהמלאי",IF(E16&lt;=F16,"מלאי נמוך - להזמין","תקין")))</f>
        <v/>
      </c>
    </row>
    <row r="17">
      <c r="A17" s="17" t="n"/>
      <c r="B17" s="17" t="n"/>
      <c r="C17" s="17" t="n"/>
      <c r="D17" s="17" t="n"/>
      <c r="E17" s="17" t="n"/>
      <c r="F17" s="17" t="n"/>
      <c r="G17" s="18" t="n"/>
      <c r="H17" s="19">
        <f>IF(A17="","",E17*G17)</f>
        <v/>
      </c>
      <c r="I17" s="17" t="n"/>
      <c r="J17" s="20">
        <f>IF(A17="","",IF(E17&lt;=0,"אזל מהמלאי",IF(E17&lt;=F17,"מלאי נמוך - להזמין","תקין")))</f>
        <v/>
      </c>
    </row>
    <row r="18">
      <c r="A18" s="17" t="n"/>
      <c r="B18" s="17" t="n"/>
      <c r="C18" s="17" t="n"/>
      <c r="D18" s="17" t="n"/>
      <c r="E18" s="17" t="n"/>
      <c r="F18" s="17" t="n"/>
      <c r="G18" s="18" t="n"/>
      <c r="H18" s="19">
        <f>IF(A18="","",E18*G18)</f>
        <v/>
      </c>
      <c r="I18" s="17" t="n"/>
      <c r="J18" s="20">
        <f>IF(A18="","",IF(E18&lt;=0,"אזל מהמלאי",IF(E18&lt;=F18,"מלאי נמוך - להזמין","תקין")))</f>
        <v/>
      </c>
    </row>
    <row r="19">
      <c r="A19" s="17" t="n"/>
      <c r="B19" s="17" t="n"/>
      <c r="C19" s="17" t="n"/>
      <c r="D19" s="17" t="n"/>
      <c r="E19" s="17" t="n"/>
      <c r="F19" s="17" t="n"/>
      <c r="G19" s="18" t="n"/>
      <c r="H19" s="19">
        <f>IF(A19="","",E19*G19)</f>
        <v/>
      </c>
      <c r="I19" s="17" t="n"/>
      <c r="J19" s="20">
        <f>IF(A19="","",IF(E19&lt;=0,"אזל מהמלאי",IF(E19&lt;=F19,"מלאי נמוך - להזמין","תקין")))</f>
        <v/>
      </c>
    </row>
    <row r="20">
      <c r="A20" s="17" t="n"/>
      <c r="B20" s="17" t="n"/>
      <c r="C20" s="17" t="n"/>
      <c r="D20" s="17" t="n"/>
      <c r="E20" s="17" t="n"/>
      <c r="F20" s="17" t="n"/>
      <c r="G20" s="18" t="n"/>
      <c r="H20" s="19">
        <f>IF(A20="","",E20*G20)</f>
        <v/>
      </c>
      <c r="I20" s="17" t="n"/>
      <c r="J20" s="20">
        <f>IF(A20="","",IF(E20&lt;=0,"אזל מהמלאי",IF(E20&lt;=F20,"מלאי נמוך - להזמין","תקין")))</f>
        <v/>
      </c>
    </row>
    <row r="21">
      <c r="A21" s="17" t="n"/>
      <c r="B21" s="17" t="n"/>
      <c r="C21" s="17" t="n"/>
      <c r="D21" s="17" t="n"/>
      <c r="E21" s="17" t="n"/>
      <c r="F21" s="17" t="n"/>
      <c r="G21" s="18" t="n"/>
      <c r="H21" s="19">
        <f>IF(A21="","",E21*G21)</f>
        <v/>
      </c>
      <c r="I21" s="17" t="n"/>
      <c r="J21" s="20">
        <f>IF(A21="","",IF(E21&lt;=0,"אזל מהמלאי",IF(E21&lt;=F21,"מלאי נמוך - להזמין","תקין")))</f>
        <v/>
      </c>
    </row>
    <row r="22">
      <c r="A22" s="17" t="n"/>
      <c r="B22" s="17" t="n"/>
      <c r="C22" s="17" t="n"/>
      <c r="D22" s="17" t="n"/>
      <c r="E22" s="17" t="n"/>
      <c r="F22" s="17" t="n"/>
      <c r="G22" s="18" t="n"/>
      <c r="H22" s="19">
        <f>IF(A22="","",E22*G22)</f>
        <v/>
      </c>
      <c r="I22" s="17" t="n"/>
      <c r="J22" s="20">
        <f>IF(A22="","",IF(E22&lt;=0,"אזל מהמלאי",IF(E22&lt;=F22,"מלאי נמוך - להזמין","תקין")))</f>
        <v/>
      </c>
    </row>
    <row r="23">
      <c r="A23" s="17" t="n"/>
      <c r="B23" s="17" t="n"/>
      <c r="C23" s="17" t="n"/>
      <c r="D23" s="17" t="n"/>
      <c r="E23" s="17" t="n"/>
      <c r="F23" s="17" t="n"/>
      <c r="G23" s="18" t="n"/>
      <c r="H23" s="19">
        <f>IF(A23="","",E23*G23)</f>
        <v/>
      </c>
      <c r="I23" s="17" t="n"/>
      <c r="J23" s="20">
        <f>IF(A23="","",IF(E23&lt;=0,"אזל מהמלאי",IF(E23&lt;=F23,"מלאי נמוך - להזמין","תקין")))</f>
        <v/>
      </c>
    </row>
    <row r="24">
      <c r="A24" s="17" t="n"/>
      <c r="B24" s="17" t="n"/>
      <c r="C24" s="17" t="n"/>
      <c r="D24" s="17" t="n"/>
      <c r="E24" s="17" t="n"/>
      <c r="F24" s="17" t="n"/>
      <c r="G24" s="18" t="n"/>
      <c r="H24" s="19">
        <f>IF(A24="","",E24*G24)</f>
        <v/>
      </c>
      <c r="I24" s="17" t="n"/>
      <c r="J24" s="20">
        <f>IF(A24="","",IF(E24&lt;=0,"אזל מהמלאי",IF(E24&lt;=F24,"מלאי נמוך - להזמין","תקין")))</f>
        <v/>
      </c>
    </row>
    <row r="25">
      <c r="A25" s="17" t="n"/>
      <c r="B25" s="17" t="n"/>
      <c r="C25" s="17" t="n"/>
      <c r="D25" s="17" t="n"/>
      <c r="E25" s="17" t="n"/>
      <c r="F25" s="17" t="n"/>
      <c r="G25" s="18" t="n"/>
      <c r="H25" s="19">
        <f>IF(A25="","",E25*G25)</f>
        <v/>
      </c>
      <c r="I25" s="17" t="n"/>
      <c r="J25" s="20">
        <f>IF(A25="","",IF(E25&lt;=0,"אזל מהמלאי",IF(E25&lt;=F25,"מלאי נמוך - להזמין","תקין")))</f>
        <v/>
      </c>
    </row>
    <row r="26">
      <c r="A26" s="17" t="n"/>
      <c r="B26" s="17" t="n"/>
      <c r="C26" s="17" t="n"/>
      <c r="D26" s="17" t="n"/>
      <c r="E26" s="17" t="n"/>
      <c r="F26" s="17" t="n"/>
      <c r="G26" s="18" t="n"/>
      <c r="H26" s="19">
        <f>IF(A26="","",E26*G26)</f>
        <v/>
      </c>
      <c r="I26" s="17" t="n"/>
      <c r="J26" s="20">
        <f>IF(A26="","",IF(E26&lt;=0,"אזל מהמלאי",IF(E26&lt;=F26,"מלאי נמוך - להזמין","תקין")))</f>
        <v/>
      </c>
    </row>
    <row r="27">
      <c r="A27" s="17" t="n"/>
      <c r="B27" s="17" t="n"/>
      <c r="C27" s="17" t="n"/>
      <c r="D27" s="17" t="n"/>
      <c r="E27" s="17" t="n"/>
      <c r="F27" s="17" t="n"/>
      <c r="G27" s="18" t="n"/>
      <c r="H27" s="19">
        <f>IF(A27="","",E27*G27)</f>
        <v/>
      </c>
      <c r="I27" s="17" t="n"/>
      <c r="J27" s="20">
        <f>IF(A27="","",IF(E27&lt;=0,"אזל מהמלאי",IF(E27&lt;=F27,"מלאי נמוך - להזמין","תקין")))</f>
        <v/>
      </c>
    </row>
    <row r="28">
      <c r="A28" s="17" t="n"/>
      <c r="B28" s="17" t="n"/>
      <c r="C28" s="17" t="n"/>
      <c r="D28" s="17" t="n"/>
      <c r="E28" s="17" t="n"/>
      <c r="F28" s="17" t="n"/>
      <c r="G28" s="18" t="n"/>
      <c r="H28" s="19">
        <f>IF(A28="","",E28*G28)</f>
        <v/>
      </c>
      <c r="I28" s="17" t="n"/>
      <c r="J28" s="20">
        <f>IF(A28="","",IF(E28&lt;=0,"אזל מהמלאי",IF(E28&lt;=F28,"מלאי נמוך - להזמין","תקין")))</f>
        <v/>
      </c>
    </row>
    <row r="29">
      <c r="A29" s="17" t="n"/>
      <c r="B29" s="17" t="n"/>
      <c r="C29" s="17" t="n"/>
      <c r="D29" s="17" t="n"/>
      <c r="E29" s="17" t="n"/>
      <c r="F29" s="17" t="n"/>
      <c r="G29" s="18" t="n"/>
      <c r="H29" s="19">
        <f>IF(A29="","",E29*G29)</f>
        <v/>
      </c>
      <c r="I29" s="17" t="n"/>
      <c r="J29" s="20">
        <f>IF(A29="","",IF(E29&lt;=0,"אזל מהמלאי",IF(E29&lt;=F29,"מלאי נמוך - להזמין","תקין")))</f>
        <v/>
      </c>
    </row>
    <row r="30">
      <c r="A30" s="17" t="n"/>
      <c r="B30" s="17" t="n"/>
      <c r="C30" s="17" t="n"/>
      <c r="D30" s="17" t="n"/>
      <c r="E30" s="17" t="n"/>
      <c r="F30" s="17" t="n"/>
      <c r="G30" s="18" t="n"/>
      <c r="H30" s="19">
        <f>IF(A30="","",E30*G30)</f>
        <v/>
      </c>
      <c r="I30" s="17" t="n"/>
      <c r="J30" s="20">
        <f>IF(A30="","",IF(E30&lt;=0,"אזל מהמלאי",IF(E30&lt;=F30,"מלאי נמוך - להזמין","תקין")))</f>
        <v/>
      </c>
    </row>
    <row r="31">
      <c r="A31" s="17" t="n"/>
      <c r="B31" s="17" t="n"/>
      <c r="C31" s="17" t="n"/>
      <c r="D31" s="17" t="n"/>
      <c r="E31" s="17" t="n"/>
      <c r="F31" s="17" t="n"/>
      <c r="G31" s="18" t="n"/>
      <c r="H31" s="19">
        <f>IF(A31="","",E31*G31)</f>
        <v/>
      </c>
      <c r="I31" s="17" t="n"/>
      <c r="J31" s="20">
        <f>IF(A31="","",IF(E31&lt;=0,"אזל מהמלאי",IF(E31&lt;=F31,"מלאי נמוך - להזמין","תקין")))</f>
        <v/>
      </c>
    </row>
    <row r="32">
      <c r="A32" s="17" t="n"/>
      <c r="B32" s="17" t="n"/>
      <c r="C32" s="17" t="n"/>
      <c r="D32" s="17" t="n"/>
      <c r="E32" s="17" t="n"/>
      <c r="F32" s="17" t="n"/>
      <c r="G32" s="18" t="n"/>
      <c r="H32" s="19">
        <f>IF(A32="","",E32*G32)</f>
        <v/>
      </c>
      <c r="I32" s="17" t="n"/>
      <c r="J32" s="20">
        <f>IF(A32="","",IF(E32&lt;=0,"אזל מהמלאי",IF(E32&lt;=F32,"מלאי נמוך - להזמין","תקין")))</f>
        <v/>
      </c>
    </row>
    <row r="33">
      <c r="A33" s="17" t="n"/>
      <c r="B33" s="17" t="n"/>
      <c r="C33" s="17" t="n"/>
      <c r="D33" s="17" t="n"/>
      <c r="E33" s="17" t="n"/>
      <c r="F33" s="17" t="n"/>
      <c r="G33" s="18" t="n"/>
      <c r="H33" s="19">
        <f>IF(A33="","",E33*G33)</f>
        <v/>
      </c>
      <c r="I33" s="17" t="n"/>
      <c r="J33" s="20">
        <f>IF(A33="","",IF(E33&lt;=0,"אזל מהמלאי",IF(E33&lt;=F33,"מלאי נמוך - להזמין","תקין")))</f>
        <v/>
      </c>
    </row>
    <row r="34">
      <c r="A34" s="17" t="n"/>
      <c r="B34" s="17" t="n"/>
      <c r="C34" s="17" t="n"/>
      <c r="D34" s="17" t="n"/>
      <c r="E34" s="17" t="n"/>
      <c r="F34" s="17" t="n"/>
      <c r="G34" s="18" t="n"/>
      <c r="H34" s="19">
        <f>IF(A34="","",E34*G34)</f>
        <v/>
      </c>
      <c r="I34" s="17" t="n"/>
      <c r="J34" s="20">
        <f>IF(A34="","",IF(E34&lt;=0,"אזל מהמלאי",IF(E34&lt;=F34,"מלאי נמוך - להזמין","תקין")))</f>
        <v/>
      </c>
    </row>
    <row r="35">
      <c r="A35" s="17" t="n"/>
      <c r="B35" s="17" t="n"/>
      <c r="C35" s="17" t="n"/>
      <c r="D35" s="17" t="n"/>
      <c r="E35" s="17" t="n"/>
      <c r="F35" s="17" t="n"/>
      <c r="G35" s="18" t="n"/>
      <c r="H35" s="19">
        <f>IF(A35="","",E35*G35)</f>
        <v/>
      </c>
      <c r="I35" s="17" t="n"/>
      <c r="J35" s="20">
        <f>IF(A35="","",IF(E35&lt;=0,"אזל מהמלאי",IF(E35&lt;=F35,"מלאי נמוך - להזמין","תקין")))</f>
        <v/>
      </c>
    </row>
    <row r="36">
      <c r="A36" s="17" t="n"/>
      <c r="B36" s="17" t="n"/>
      <c r="C36" s="17" t="n"/>
      <c r="D36" s="17" t="n"/>
      <c r="E36" s="17" t="n"/>
      <c r="F36" s="17" t="n"/>
      <c r="G36" s="18" t="n"/>
      <c r="H36" s="19">
        <f>IF(A36="","",E36*G36)</f>
        <v/>
      </c>
      <c r="I36" s="17" t="n"/>
      <c r="J36" s="20">
        <f>IF(A36="","",IF(E36&lt;=0,"אזל מהמלאי",IF(E36&lt;=F36,"מלאי נמוך - להזמין","תקין")))</f>
        <v/>
      </c>
    </row>
    <row r="37">
      <c r="A37" s="17" t="n"/>
      <c r="B37" s="17" t="n"/>
      <c r="C37" s="17" t="n"/>
      <c r="D37" s="17" t="n"/>
      <c r="E37" s="17" t="n"/>
      <c r="F37" s="17" t="n"/>
      <c r="G37" s="18" t="n"/>
      <c r="H37" s="19">
        <f>IF(A37="","",E37*G37)</f>
        <v/>
      </c>
      <c r="I37" s="17" t="n"/>
      <c r="J37" s="20">
        <f>IF(A37="","",IF(E37&lt;=0,"אזל מהמלאי",IF(E37&lt;=F37,"מלאי נמוך - להזמין","תקין")))</f>
        <v/>
      </c>
    </row>
    <row r="38">
      <c r="A38" s="17" t="n"/>
      <c r="B38" s="17" t="n"/>
      <c r="C38" s="17" t="n"/>
      <c r="D38" s="17" t="n"/>
      <c r="E38" s="17" t="n"/>
      <c r="F38" s="17" t="n"/>
      <c r="G38" s="18" t="n"/>
      <c r="H38" s="19">
        <f>IF(A38="","",E38*G38)</f>
        <v/>
      </c>
      <c r="I38" s="17" t="n"/>
      <c r="J38" s="20">
        <f>IF(A38="","",IF(E38&lt;=0,"אזל מהמלאי",IF(E38&lt;=F38,"מלאי נמוך - להזמין","תקין")))</f>
        <v/>
      </c>
    </row>
  </sheetData>
  <mergeCells count="2">
    <mergeCell ref="A1:J1"/>
    <mergeCell ref="A2:J2"/>
  </mergeCells>
  <conditionalFormatting sqref="J4:J38">
    <cfRule type="expression" priority="1" dxfId="0">
      <formula>$J4="תקין"</formula>
    </cfRule>
    <cfRule type="expression" priority="2" dxfId="1">
      <formula>$J4="מלאי נמוך - להזמין"</formula>
    </cfRule>
    <cfRule type="expression" priority="3" dxfId="2">
      <formula>$J4="אזל מהמלאי"</formula>
    </cfRule>
  </conditionalFormatting>
  <dataValidations count="2">
    <dataValidation sqref="C4:C38" showDropDown="0" showInputMessage="0" showErrorMessage="0" allowBlank="1" type="list">
      <formula1>"חשמל,אינסטלציה,מיזוג אוויר,גבס,צבע,אלומיניום,נגרות,איטום,כלי עבודה,אחר"</formula1>
    </dataValidation>
    <dataValidation sqref="D4:D38" showDropDown="0" showInputMessage="0" showErrorMessage="0" allowBlank="1" type="list">
      <formula1>"יח',מ"ר,מ"א,ק"ג,ליטר,קופסה,גליל"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0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1" t="inlineStr">
        <is>
          <t>1. עברו ללשונית 'שולחן עבודה'.</t>
        </is>
      </c>
    </row>
    <row r="6" ht="34" customHeight="1">
      <c r="A6" s="21" t="inlineStr">
        <is>
          <t>2. הוסיפו שורה לכל פריט מלאי — מק"ט, שם, קטגוריה, יחידה, כמות, מלאי מינימום, עלות יחידה, ספק.</t>
        </is>
      </c>
    </row>
    <row r="8" ht="34" customHeight="1">
      <c r="A8" s="21" t="inlineStr">
        <is>
          <t>3. שווי המלאי מחושב אוטומטית (כמות × עלות יחידה).</t>
        </is>
      </c>
    </row>
    <row r="10" ht="34" customHeight="1">
      <c r="A10" s="21" t="inlineStr">
        <is>
          <t>4. הסטטוס (תקין/מלאי נמוך/אזל) מתעדכן אוטומטית מול מלאי המינימום שהגדרתם.</t>
        </is>
      </c>
    </row>
    <row r="12" ht="34" customHeight="1">
      <c r="A12" s="21" t="inlineStr">
        <is>
          <t>5. עברו ל-לוח הבקרה לראות שווי מלאי כולל ואיזה פריטים דורשים הזמנה.</t>
        </is>
      </c>
    </row>
    <row r="14" ht="40" customHeight="1">
      <c r="A14" s="22" t="inlineStr">
        <is>
          <t>טיפ: הגדירו 'מלאי מינימום' ריאלי לפי קצב השימוש שלכם — לא נמוך מדי (מלאי אוזל) ולא גבוה מדי (הון תפוס במלאי).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0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3" t="inlineStr">
        <is>
          <t>מה זה?</t>
        </is>
      </c>
      <c r="C4" s="24" t="inlineStr">
        <is>
          <t>כלי לניהול מלאי חומרים וציוד, עם התראות אוטומטיות על מלאי נמוך.</t>
        </is>
      </c>
    </row>
    <row r="5" ht="46" customHeight="1">
      <c r="B5" s="23" t="inlineStr">
        <is>
          <t>למי זה מתאים?</t>
        </is>
      </c>
      <c r="C5" s="24" t="inlineStr">
        <is>
          <t>קבלנים ובעלי מקצוע ששומרים מלאי חומרים/ציוד קבוע במחסן או ברכב.</t>
        </is>
      </c>
    </row>
    <row r="6" ht="46" customHeight="1">
      <c r="B6" s="23" t="inlineStr">
        <is>
          <t>איזו בעיה זה פותר?</t>
        </is>
      </c>
      <c r="C6" s="24" t="inlineStr">
        <is>
          <t>להגיע לעבודה ולגלות שחומר חשוב אזל — עצירה של יום עבודה שלם.</t>
        </is>
      </c>
    </row>
    <row r="7" ht="46" customHeight="1">
      <c r="B7" s="23" t="inlineStr">
        <is>
          <t>איך מתחילים?</t>
        </is>
      </c>
      <c r="C7" s="24" t="inlineStr">
        <is>
          <t>הזינו כל פריט מלאי כשורה, עם כמות נוכחית ומלאי מינימום.</t>
        </is>
      </c>
    </row>
    <row r="8" ht="46" customHeight="1">
      <c r="B8" s="23" t="inlineStr">
        <is>
          <t>מה צריך להזין?</t>
        </is>
      </c>
      <c r="C8" s="24" t="inlineStr">
        <is>
          <t>מק"ט, שם פריט, קטגוריה, יחידה, כמות, מלאי מינימום, עלות יחידה, ספק.</t>
        </is>
      </c>
    </row>
    <row r="9" ht="46" customHeight="1">
      <c r="B9" s="23" t="inlineStr">
        <is>
          <t>מה מחושב אוטומטית?</t>
        </is>
      </c>
      <c r="C9" s="24" t="inlineStr">
        <is>
          <t>שווי מלאי (כמות × עלות יחידה) וסטטוס (תקין / מלאי נמוך - להזמין / אזל מהמלאי).</t>
        </is>
      </c>
    </row>
    <row r="10" ht="46" customHeight="1">
      <c r="B10" s="23" t="inlineStr">
        <is>
          <t>מה לוח הבקרה מציג?</t>
        </is>
      </c>
      <c r="C10" s="24" t="inlineStr">
        <is>
          <t>שווי מלאי כולל, מספר פריטים, פריטים במלאי נמוך, פריטים שאזלו, והפריט היקר ביותר.</t>
        </is>
      </c>
    </row>
    <row r="11" ht="46" customHeight="1">
      <c r="B11" s="23" t="inlineStr">
        <is>
          <t>טיפים</t>
        </is>
      </c>
      <c r="C11" s="24" t="inlineStr">
        <is>
          <t>עדכנו כמות בכל פעם שאתם לוקחים או מקבלים חומר — כך הדוח תמיד מדויק.</t>
        </is>
      </c>
    </row>
    <row r="13">
      <c r="B13" s="25" t="inlineStr">
        <is>
          <t>שאלות נפוצות</t>
        </is>
      </c>
    </row>
    <row r="14" ht="40" customHeight="1">
      <c r="B14" s="26" t="inlineStr">
        <is>
          <t>איך קובעים מלאי מינימום?</t>
        </is>
      </c>
      <c r="C14" s="24" t="inlineStr">
        <is>
          <t>לפי קצב הצריכה הרגיל שלכם — כמות שמספיקה עד ההזמנה הבאה, פלוס מרווח ביטחון.</t>
        </is>
      </c>
    </row>
    <row r="15" ht="40" customHeight="1">
      <c r="B15" s="26" t="inlineStr">
        <is>
          <t>מה ההבדל בין 'מלאי נמוך' ל'אזל מהמלאי'?</t>
        </is>
      </c>
      <c r="C15" s="24" t="inlineStr">
        <is>
          <t>מלאי נמוך = כמות שווה או פחות ממלאי המינימום. אזל = כמות אפס או שלילית.</t>
        </is>
      </c>
    </row>
    <row r="16" ht="40" customHeight="1">
      <c r="B16" s="26" t="inlineStr">
        <is>
          <t>אפשר לסנן לפי קטגוריה או ספק?</t>
        </is>
      </c>
      <c r="C16" s="24" t="inlineStr">
        <is>
          <t>כן — השתמשו בסינון (Filter) הרגיל של Excel/Sheets על כל עמודה.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2026-09-13T19:00:18Z</dcterms:created>
  <dcterms:modified xsi:type="dcterms:W3CDTF">2026-09-13T19:00:18Z</dcterms:modified>
</cp:coreProperties>
</file>