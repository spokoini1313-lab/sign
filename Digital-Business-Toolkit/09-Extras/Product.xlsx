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לוח בקרה" sheetId="1" state="visible" r:id="rId1"/>
    <sheet name="שולחן עבודה" sheetId="2" state="visible" r:id="rId2"/>
    <sheet name="התחלה מהירה" sheetId="3" state="visible" r:id="rId3"/>
    <sheet name="מדריך שימוש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color rgb="001F4E78"/>
      <sz val="11"/>
    </font>
    <font>
      <name val="Calibri"/>
      <b val="1"/>
      <color rgb="00000000"/>
      <sz val="11"/>
    </font>
    <font>
      <name val="Calibri"/>
      <b val="1"/>
      <color rgb="00FFFFFF"/>
      <sz val="22"/>
    </font>
    <font>
      <name val="Calibri"/>
      <b val="1"/>
      <color rgb="0017365D"/>
      <sz val="10"/>
    </font>
    <font>
      <name val="Calibri"/>
      <b val="1"/>
      <color rgb="001F4E78"/>
      <sz val="18"/>
    </font>
    <font>
      <name val="Calibri"/>
      <b val="1"/>
      <color rgb="00FFFFFF"/>
      <sz val="13"/>
    </font>
    <font>
      <name val="Calibri"/>
      <color rgb="0017365D"/>
      <sz val="11"/>
    </font>
    <font>
      <name val="Calibri"/>
      <color rgb="00000000"/>
      <sz val="12"/>
    </font>
    <font>
      <name val="Calibri"/>
      <b val="1"/>
      <color rgb="001F4E78"/>
      <sz val="11"/>
    </font>
    <font>
      <name val="Calibri"/>
      <b val="1"/>
      <color rgb="0017365D"/>
      <sz val="12"/>
    </font>
    <font>
      <name val="Calibri"/>
      <color rgb="00000000"/>
      <sz val="11"/>
    </font>
  </fonts>
  <fills count="8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9EAF7"/>
      </patternFill>
    </fill>
    <fill>
      <patternFill patternType="solid">
        <fgColor rgb="00FFFFFF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B7C6D6"/>
      </left>
      <right style="thin">
        <color rgb="00B7C6D6"/>
      </right>
      <top style="thin">
        <color rgb="00B7C6D6"/>
      </top>
      <bottom style="thin">
        <color rgb="00B7C6D6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6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7" fillId="5" borderId="1" applyAlignment="1" pivotButton="0" quotePrefix="0" xfId="0">
      <alignment horizontal="center" vertical="center" wrapText="1"/>
    </xf>
    <xf numFmtId="3" fontId="8" fillId="6" borderId="1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right" vertical="center" wrapText="1"/>
    </xf>
    <xf numFmtId="0" fontId="10" fillId="4" borderId="0" applyAlignment="1" pivotButton="0" quotePrefix="0" xfId="0">
      <alignment horizontal="right" vertical="center" wrapText="1"/>
    </xf>
    <xf numFmtId="0" fontId="10" fillId="5" borderId="0" applyAlignment="1" pivotButton="0" quotePrefix="0" xfId="0">
      <alignment horizontal="right" vertical="center" wrapText="1"/>
    </xf>
    <xf numFmtId="0" fontId="1" fillId="2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165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right" vertical="center" wrapText="1"/>
    </xf>
    <xf numFmtId="3" fontId="4" fillId="4" borderId="1" applyAlignment="1" pivotButton="0" quotePrefix="0" xfId="0">
      <alignment horizontal="center" vertical="center" wrapText="1"/>
    </xf>
    <xf numFmtId="3" fontId="5" fillId="0" borderId="1" applyAlignment="1" pivotButton="0" quotePrefix="0" xfId="0">
      <alignment horizontal="center" vertical="center" wrapText="1"/>
    </xf>
    <xf numFmtId="165" fontId="0" fillId="4" borderId="1" pivotButton="0" quotePrefix="0" xfId="0"/>
    <xf numFmtId="0" fontId="0" fillId="4" borderId="1" pivotButton="0" quotePrefix="0" xfId="0"/>
    <xf numFmtId="3" fontId="0" fillId="4" borderId="1" pivotButton="0" quotePrefix="0" xfId="0"/>
    <xf numFmtId="3" fontId="0" fillId="0" borderId="1" pivotButton="0" quotePrefix="0" xfId="0"/>
    <xf numFmtId="0" fontId="11" fillId="7" borderId="0" applyAlignment="1" pivotButton="0" quotePrefix="0" xfId="0">
      <alignment horizontal="right" vertical="center" wrapText="1"/>
    </xf>
    <xf numFmtId="0" fontId="12" fillId="5" borderId="0" applyAlignment="1" pivotButton="0" quotePrefix="0" xfId="0">
      <alignment horizontal="right" vertical="center" wrapText="1"/>
    </xf>
    <xf numFmtId="0" fontId="13" fillId="5" borderId="1" applyAlignment="1" pivotButton="0" quotePrefix="0" xfId="0">
      <alignment horizontal="right" vertical="center" wrapText="1"/>
    </xf>
    <xf numFmtId="0" fontId="14" fillId="0" borderId="1" applyAlignment="1" pivotButton="0" quotePrefix="0" xfId="0">
      <alignment horizontal="right" vertical="center" wrapText="1"/>
    </xf>
    <xf numFmtId="0" fontId="9" fillId="2" borderId="0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dxfs count="3">
    <dxf>
      <fill>
        <patternFill patternType="solid">
          <fgColor rgb="00E2F0D9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B2:F11"/>
  <sheetViews>
    <sheetView showGridLines="0" rightToLeft="1"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2" ht="46" customHeight="1">
      <c r="B2" s="1" t="inlineStr">
        <is>
          <t>לוח בקרה — ניהול תוספות וחריגים</t>
        </is>
      </c>
      <c r="C2" s="2" t="n"/>
      <c r="D2" s="2" t="n"/>
      <c r="E2" s="2" t="n"/>
      <c r="F2" s="2" t="n"/>
    </row>
    <row r="3" ht="22" customHeight="1">
      <c r="B3" s="3" t="inlineStr">
        <is>
          <t>JobMargin — קבלו תשלום על כל תוספת שביצעתם</t>
        </is>
      </c>
      <c r="C3" s="4" t="n"/>
      <c r="D3" s="4" t="n"/>
      <c r="E3" s="4" t="n"/>
      <c r="F3" s="4" t="n"/>
    </row>
    <row r="5" ht="30" customHeight="1">
      <c r="B5" s="5" t="inlineStr">
        <is>
          <t>סה"כ תוספות (₪)</t>
        </is>
      </c>
      <c r="C5" s="5" t="inlineStr">
        <is>
          <t>תוספות שאושרו (₪)</t>
        </is>
      </c>
      <c r="D5" s="5" t="inlineStr">
        <is>
          <t>ממתינות לאישור</t>
        </is>
      </c>
      <c r="E5" s="5" t="inlineStr">
        <is>
          <t>הושלם ולא חויב (₪)</t>
        </is>
      </c>
      <c r="F5" s="5" t="inlineStr">
        <is>
          <t>חויב ולא שולם (₪)</t>
        </is>
      </c>
    </row>
    <row r="6" ht="34" customHeight="1">
      <c r="B6" s="6">
        <f>SUM('שולחן עבודה'!G4:G38)</f>
        <v/>
      </c>
      <c r="C6" s="6">
        <f>SUMIF('שולחן עבודה'!H4:H38,"אושר",'שולחן עבודה'!G4:G38)</f>
        <v/>
      </c>
      <c r="D6" s="6">
        <f>COUNTIF('שולחן עבודה'!H4:H38,"ממתין לאישור")</f>
        <v/>
      </c>
      <c r="E6" s="6">
        <f>SUMIFS('שולחן עבודה'!G4:G38,'שולחן עבודה'!I4:I38,"הושלם",'שולחן עבודה'!J4:J38,"לא")</f>
        <v/>
      </c>
      <c r="F6" s="6">
        <f>SUMIFS('שולחן עבודה'!G4:G38,'שולחן עבודה'!J4:J38,"כן",'שולחן עבודה'!K4:K38,"לא")</f>
        <v/>
      </c>
    </row>
    <row r="9" ht="26" customHeight="1">
      <c r="B9" s="7" t="inlineStr">
        <is>
          <t>⚠ תובנות עסקיות והתראות</t>
        </is>
      </c>
    </row>
    <row r="10" ht="22" customHeight="1">
      <c r="B10" s="8">
        <f>IF(COUNTIF('שולחן עבודה'!H4:H38,"ממתין לאישור")&gt;0,"יש "&amp;COUNTIF('שולחן עבודה'!H4:H38,"ממתין לאישור")&amp;" תוספות ממתינות לאישור לקוח.","כל התוספות טופלו מבחינת אישור.")</f>
        <v/>
      </c>
    </row>
    <row r="11" ht="22" customHeight="1">
      <c r="B11" s="9">
        <f>IF(SUMIFS('שולחן עבודה'!G4:G38,'שולחן עבודה'!I4:I38,"הושלם",'שולחן עבודה'!J4:J38,"לא")&gt;0,"יש עבודות תוספת שהושלמו אך טרם חויבו — כסף שממתין על השולחן!","כל העבודות שהושלמו כבר חויבו.")</f>
        <v/>
      </c>
    </row>
  </sheetData>
  <mergeCells count="5">
    <mergeCell ref="B2:F2"/>
    <mergeCell ref="B10:F10"/>
    <mergeCell ref="B11:F11"/>
    <mergeCell ref="B3:F3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7365D"/>
    <outlinePr summaryBelow="1" summaryRight="1"/>
    <pageSetUpPr/>
  </sheetPr>
  <dimension ref="A1:L38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26" customWidth="1" min="4" max="4"/>
    <col width="8" customWidth="1" min="5" max="5"/>
    <col width="11" customWidth="1" min="6" max="6"/>
    <col width="12" customWidth="1" min="7" max="7"/>
    <col width="15" customWidth="1" min="8" max="8"/>
    <col width="13" customWidth="1" min="9" max="9"/>
    <col width="9" customWidth="1" min="10" max="10"/>
    <col width="9" customWidth="1" min="11" max="11"/>
    <col width="16" customWidth="1" min="12" max="12"/>
  </cols>
  <sheetData>
    <row r="1" ht="44" customHeight="1">
      <c r="A1" s="10" t="inlineStr">
        <is>
          <t>ניהול תוספות וחריגים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4" customHeight="1">
      <c r="A2" s="3" t="inlineStr">
        <is>
          <t>הזינו נתונים בתאים הצהובים בלבד — הסה"כ מחושב אוטומטית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</row>
    <row r="3" ht="34" customHeight="1">
      <c r="A3" s="11" t="inlineStr">
        <is>
          <t>תאריך</t>
        </is>
      </c>
      <c r="B3" s="11" t="inlineStr">
        <is>
          <t>שם פרויקט</t>
        </is>
      </c>
      <c r="C3" s="11" t="inlineStr">
        <is>
          <t>לקוח</t>
        </is>
      </c>
      <c r="D3" s="11" t="inlineStr">
        <is>
          <t>תיאור התוספת</t>
        </is>
      </c>
      <c r="E3" s="11" t="inlineStr">
        <is>
          <t>כמות</t>
        </is>
      </c>
      <c r="F3" s="11" t="inlineStr">
        <is>
          <t>מחיר ליחידה</t>
        </is>
      </c>
      <c r="G3" s="11" t="inlineStr">
        <is>
          <t>סה"כ (₪)</t>
        </is>
      </c>
      <c r="H3" s="11" t="inlineStr">
        <is>
          <t>אישור לקוח</t>
        </is>
      </c>
      <c r="I3" s="11" t="inlineStr">
        <is>
          <t>סטטוס ביצוע</t>
        </is>
      </c>
      <c r="J3" s="11" t="inlineStr">
        <is>
          <t>חויב?</t>
        </is>
      </c>
      <c r="K3" s="11" t="inlineStr">
        <is>
          <t>שולם?</t>
        </is>
      </c>
      <c r="L3" s="11" t="inlineStr">
        <is>
          <t>הערות</t>
        </is>
      </c>
    </row>
    <row r="4">
      <c r="A4" s="12" t="n">
        <v>46037</v>
      </c>
      <c r="B4" s="13" t="inlineStr">
        <is>
          <t>שיפוץ מטבח - וילה כהן</t>
        </is>
      </c>
      <c r="C4" s="14" t="inlineStr">
        <is>
          <t>משפחת כהן</t>
        </is>
      </c>
      <c r="D4" s="14" t="inlineStr">
        <is>
          <t>הוספת שקעים בסלון</t>
        </is>
      </c>
      <c r="E4" s="13" t="n">
        <v>4</v>
      </c>
      <c r="F4" s="15" t="n">
        <v>150</v>
      </c>
      <c r="G4" s="16">
        <f>E4*F4</f>
        <v/>
      </c>
      <c r="H4" s="13" t="inlineStr">
        <is>
          <t>אושר</t>
        </is>
      </c>
      <c r="I4" s="13" t="inlineStr">
        <is>
          <t>הושלם</t>
        </is>
      </c>
      <c r="J4" s="13" t="inlineStr">
        <is>
          <t>כן</t>
        </is>
      </c>
      <c r="K4" s="13" t="inlineStr">
        <is>
          <t>לא</t>
        </is>
      </c>
      <c r="L4" s="14" t="inlineStr"/>
    </row>
    <row r="5">
      <c r="A5" s="12" t="n">
        <v>46040</v>
      </c>
      <c r="B5" s="13" t="inlineStr">
        <is>
          <t>שיפוץ מטבח - וילה כהן</t>
        </is>
      </c>
      <c r="C5" s="14" t="inlineStr">
        <is>
          <t>משפחת כהן</t>
        </is>
      </c>
      <c r="D5" s="14" t="inlineStr">
        <is>
          <t>שדרוג לגופי תאורה LED</t>
        </is>
      </c>
      <c r="E5" s="13" t="n">
        <v>1</v>
      </c>
      <c r="F5" s="15" t="n">
        <v>1200</v>
      </c>
      <c r="G5" s="16">
        <f>E5*F5</f>
        <v/>
      </c>
      <c r="H5" s="13" t="inlineStr">
        <is>
          <t>אושר</t>
        </is>
      </c>
      <c r="I5" s="13" t="inlineStr">
        <is>
          <t>בביצוע</t>
        </is>
      </c>
      <c r="J5" s="13" t="inlineStr">
        <is>
          <t>לא</t>
        </is>
      </c>
      <c r="K5" s="13" t="inlineStr">
        <is>
          <t>לא</t>
        </is>
      </c>
      <c r="L5" s="14" t="inlineStr"/>
    </row>
    <row r="6">
      <c r="A6" s="12" t="n">
        <v>46042</v>
      </c>
      <c r="B6" s="13" t="inlineStr">
        <is>
          <t>החלפת לוח חשמל</t>
        </is>
      </c>
      <c r="C6" s="14" t="inlineStr">
        <is>
          <t>עו"ד לוי</t>
        </is>
      </c>
      <c r="D6" s="14" t="inlineStr">
        <is>
          <t>הוספת נקודת רשת נוספת</t>
        </is>
      </c>
      <c r="E6" s="13" t="n">
        <v>2</v>
      </c>
      <c r="F6" s="15" t="n">
        <v>180</v>
      </c>
      <c r="G6" s="16">
        <f>E6*F6</f>
        <v/>
      </c>
      <c r="H6" s="13" t="inlineStr">
        <is>
          <t>ממתין לאישור</t>
        </is>
      </c>
      <c r="I6" s="13" t="inlineStr">
        <is>
          <t>טרם החל</t>
        </is>
      </c>
      <c r="J6" s="13" t="inlineStr">
        <is>
          <t>לא</t>
        </is>
      </c>
      <c r="K6" s="13" t="inlineStr">
        <is>
          <t>לא</t>
        </is>
      </c>
      <c r="L6" s="14" t="inlineStr"/>
    </row>
    <row r="7">
      <c r="A7" s="12" t="n">
        <v>46044</v>
      </c>
      <c r="B7" s="13" t="inlineStr">
        <is>
          <t>איטום גג</t>
        </is>
      </c>
      <c r="C7" s="14" t="inlineStr">
        <is>
          <t>בניין רוטשילד</t>
        </is>
      </c>
      <c r="D7" s="14" t="inlineStr">
        <is>
          <t>איטום נוסף בפינת הגג</t>
        </is>
      </c>
      <c r="E7" s="13" t="n">
        <v>1</v>
      </c>
      <c r="F7" s="15" t="n">
        <v>900</v>
      </c>
      <c r="G7" s="16">
        <f>E7*F7</f>
        <v/>
      </c>
      <c r="H7" s="13" t="inlineStr">
        <is>
          <t>אושר</t>
        </is>
      </c>
      <c r="I7" s="13" t="inlineStr">
        <is>
          <t>הושלם</t>
        </is>
      </c>
      <c r="J7" s="13" t="inlineStr">
        <is>
          <t>כן</t>
        </is>
      </c>
      <c r="K7" s="13" t="inlineStr">
        <is>
          <t>כן</t>
        </is>
      </c>
      <c r="L7" s="14" t="inlineStr"/>
    </row>
    <row r="8">
      <c r="A8" s="12" t="n">
        <v>46047</v>
      </c>
      <c r="B8" s="13" t="inlineStr">
        <is>
          <t>ריצוף חדר אמבטיה</t>
        </is>
      </c>
      <c r="C8" s="14" t="inlineStr">
        <is>
          <t>דירת גורן</t>
        </is>
      </c>
      <c r="D8" s="14" t="inlineStr">
        <is>
          <t>החלפת אריחים לדגם משודרג</t>
        </is>
      </c>
      <c r="E8" s="13" t="n">
        <v>12</v>
      </c>
      <c r="F8" s="15" t="n">
        <v>45</v>
      </c>
      <c r="G8" s="16">
        <f>E8*F8</f>
        <v/>
      </c>
      <c r="H8" s="13" t="inlineStr">
        <is>
          <t>נדחה</t>
        </is>
      </c>
      <c r="I8" s="13" t="inlineStr">
        <is>
          <t>טרם החל</t>
        </is>
      </c>
      <c r="J8" s="13" t="inlineStr">
        <is>
          <t>לא</t>
        </is>
      </c>
      <c r="K8" s="13" t="inlineStr">
        <is>
          <t>לא</t>
        </is>
      </c>
      <c r="L8" s="14" t="inlineStr">
        <is>
          <t>הלקוח ויתר</t>
        </is>
      </c>
    </row>
    <row r="9">
      <c r="A9" s="17" t="n"/>
      <c r="B9" s="18" t="n"/>
      <c r="C9" s="18" t="n"/>
      <c r="D9" s="18" t="n"/>
      <c r="E9" s="18" t="n"/>
      <c r="F9" s="19" t="n"/>
      <c r="G9" s="20">
        <f>IF(D9="","",E9*F9)</f>
        <v/>
      </c>
      <c r="H9" s="18" t="n"/>
      <c r="I9" s="18" t="n"/>
      <c r="J9" s="18" t="n"/>
      <c r="K9" s="18" t="n"/>
      <c r="L9" s="18" t="n"/>
    </row>
    <row r="10">
      <c r="A10" s="17" t="n"/>
      <c r="B10" s="18" t="n"/>
      <c r="C10" s="18" t="n"/>
      <c r="D10" s="18" t="n"/>
      <c r="E10" s="18" t="n"/>
      <c r="F10" s="19" t="n"/>
      <c r="G10" s="20">
        <f>IF(D10="","",E10*F10)</f>
        <v/>
      </c>
      <c r="H10" s="18" t="n"/>
      <c r="I10" s="18" t="n"/>
      <c r="J10" s="18" t="n"/>
      <c r="K10" s="18" t="n"/>
      <c r="L10" s="18" t="n"/>
    </row>
    <row r="11">
      <c r="A11" s="17" t="n"/>
      <c r="B11" s="18" t="n"/>
      <c r="C11" s="18" t="n"/>
      <c r="D11" s="18" t="n"/>
      <c r="E11" s="18" t="n"/>
      <c r="F11" s="19" t="n"/>
      <c r="G11" s="20">
        <f>IF(D11="","",E11*F11)</f>
        <v/>
      </c>
      <c r="H11" s="18" t="n"/>
      <c r="I11" s="18" t="n"/>
      <c r="J11" s="18" t="n"/>
      <c r="K11" s="18" t="n"/>
      <c r="L11" s="18" t="n"/>
    </row>
    <row r="12">
      <c r="A12" s="17" t="n"/>
      <c r="B12" s="18" t="n"/>
      <c r="C12" s="18" t="n"/>
      <c r="D12" s="18" t="n"/>
      <c r="E12" s="18" t="n"/>
      <c r="F12" s="19" t="n"/>
      <c r="G12" s="20">
        <f>IF(D12="","",E12*F12)</f>
        <v/>
      </c>
      <c r="H12" s="18" t="n"/>
      <c r="I12" s="18" t="n"/>
      <c r="J12" s="18" t="n"/>
      <c r="K12" s="18" t="n"/>
      <c r="L12" s="18" t="n"/>
    </row>
    <row r="13">
      <c r="A13" s="17" t="n"/>
      <c r="B13" s="18" t="n"/>
      <c r="C13" s="18" t="n"/>
      <c r="D13" s="18" t="n"/>
      <c r="E13" s="18" t="n"/>
      <c r="F13" s="19" t="n"/>
      <c r="G13" s="20">
        <f>IF(D13="","",E13*F13)</f>
        <v/>
      </c>
      <c r="H13" s="18" t="n"/>
      <c r="I13" s="18" t="n"/>
      <c r="J13" s="18" t="n"/>
      <c r="K13" s="18" t="n"/>
      <c r="L13" s="18" t="n"/>
    </row>
    <row r="14">
      <c r="A14" s="17" t="n"/>
      <c r="B14" s="18" t="n"/>
      <c r="C14" s="18" t="n"/>
      <c r="D14" s="18" t="n"/>
      <c r="E14" s="18" t="n"/>
      <c r="F14" s="19" t="n"/>
      <c r="G14" s="20">
        <f>IF(D14="","",E14*F14)</f>
        <v/>
      </c>
      <c r="H14" s="18" t="n"/>
      <c r="I14" s="18" t="n"/>
      <c r="J14" s="18" t="n"/>
      <c r="K14" s="18" t="n"/>
      <c r="L14" s="18" t="n"/>
    </row>
    <row r="15">
      <c r="A15" s="17" t="n"/>
      <c r="B15" s="18" t="n"/>
      <c r="C15" s="18" t="n"/>
      <c r="D15" s="18" t="n"/>
      <c r="E15" s="18" t="n"/>
      <c r="F15" s="19" t="n"/>
      <c r="G15" s="20">
        <f>IF(D15="","",E15*F15)</f>
        <v/>
      </c>
      <c r="H15" s="18" t="n"/>
      <c r="I15" s="18" t="n"/>
      <c r="J15" s="18" t="n"/>
      <c r="K15" s="18" t="n"/>
      <c r="L15" s="18" t="n"/>
    </row>
    <row r="16">
      <c r="A16" s="17" t="n"/>
      <c r="B16" s="18" t="n"/>
      <c r="C16" s="18" t="n"/>
      <c r="D16" s="18" t="n"/>
      <c r="E16" s="18" t="n"/>
      <c r="F16" s="19" t="n"/>
      <c r="G16" s="20">
        <f>IF(D16="","",E16*F16)</f>
        <v/>
      </c>
      <c r="H16" s="18" t="n"/>
      <c r="I16" s="18" t="n"/>
      <c r="J16" s="18" t="n"/>
      <c r="K16" s="18" t="n"/>
      <c r="L16" s="18" t="n"/>
    </row>
    <row r="17">
      <c r="A17" s="17" t="n"/>
      <c r="B17" s="18" t="n"/>
      <c r="C17" s="18" t="n"/>
      <c r="D17" s="18" t="n"/>
      <c r="E17" s="18" t="n"/>
      <c r="F17" s="19" t="n"/>
      <c r="G17" s="20">
        <f>IF(D17="","",E17*F17)</f>
        <v/>
      </c>
      <c r="H17" s="18" t="n"/>
      <c r="I17" s="18" t="n"/>
      <c r="J17" s="18" t="n"/>
      <c r="K17" s="18" t="n"/>
      <c r="L17" s="18" t="n"/>
    </row>
    <row r="18">
      <c r="A18" s="17" t="n"/>
      <c r="B18" s="18" t="n"/>
      <c r="C18" s="18" t="n"/>
      <c r="D18" s="18" t="n"/>
      <c r="E18" s="18" t="n"/>
      <c r="F18" s="19" t="n"/>
      <c r="G18" s="20">
        <f>IF(D18="","",E18*F18)</f>
        <v/>
      </c>
      <c r="H18" s="18" t="n"/>
      <c r="I18" s="18" t="n"/>
      <c r="J18" s="18" t="n"/>
      <c r="K18" s="18" t="n"/>
      <c r="L18" s="18" t="n"/>
    </row>
    <row r="19">
      <c r="A19" s="17" t="n"/>
      <c r="B19" s="18" t="n"/>
      <c r="C19" s="18" t="n"/>
      <c r="D19" s="18" t="n"/>
      <c r="E19" s="18" t="n"/>
      <c r="F19" s="19" t="n"/>
      <c r="G19" s="20">
        <f>IF(D19="","",E19*F19)</f>
        <v/>
      </c>
      <c r="H19" s="18" t="n"/>
      <c r="I19" s="18" t="n"/>
      <c r="J19" s="18" t="n"/>
      <c r="K19" s="18" t="n"/>
      <c r="L19" s="18" t="n"/>
    </row>
    <row r="20">
      <c r="A20" s="17" t="n"/>
      <c r="B20" s="18" t="n"/>
      <c r="C20" s="18" t="n"/>
      <c r="D20" s="18" t="n"/>
      <c r="E20" s="18" t="n"/>
      <c r="F20" s="19" t="n"/>
      <c r="G20" s="20">
        <f>IF(D20="","",E20*F20)</f>
        <v/>
      </c>
      <c r="H20" s="18" t="n"/>
      <c r="I20" s="18" t="n"/>
      <c r="J20" s="18" t="n"/>
      <c r="K20" s="18" t="n"/>
      <c r="L20" s="18" t="n"/>
    </row>
    <row r="21">
      <c r="A21" s="17" t="n"/>
      <c r="B21" s="18" t="n"/>
      <c r="C21" s="18" t="n"/>
      <c r="D21" s="18" t="n"/>
      <c r="E21" s="18" t="n"/>
      <c r="F21" s="19" t="n"/>
      <c r="G21" s="20">
        <f>IF(D21="","",E21*F21)</f>
        <v/>
      </c>
      <c r="H21" s="18" t="n"/>
      <c r="I21" s="18" t="n"/>
      <c r="J21" s="18" t="n"/>
      <c r="K21" s="18" t="n"/>
      <c r="L21" s="18" t="n"/>
    </row>
    <row r="22">
      <c r="A22" s="17" t="n"/>
      <c r="B22" s="18" t="n"/>
      <c r="C22" s="18" t="n"/>
      <c r="D22" s="18" t="n"/>
      <c r="E22" s="18" t="n"/>
      <c r="F22" s="19" t="n"/>
      <c r="G22" s="20">
        <f>IF(D22="","",E22*F22)</f>
        <v/>
      </c>
      <c r="H22" s="18" t="n"/>
      <c r="I22" s="18" t="n"/>
      <c r="J22" s="18" t="n"/>
      <c r="K22" s="18" t="n"/>
      <c r="L22" s="18" t="n"/>
    </row>
    <row r="23">
      <c r="A23" s="17" t="n"/>
      <c r="B23" s="18" t="n"/>
      <c r="C23" s="18" t="n"/>
      <c r="D23" s="18" t="n"/>
      <c r="E23" s="18" t="n"/>
      <c r="F23" s="19" t="n"/>
      <c r="G23" s="20">
        <f>IF(D23="","",E23*F23)</f>
        <v/>
      </c>
      <c r="H23" s="18" t="n"/>
      <c r="I23" s="18" t="n"/>
      <c r="J23" s="18" t="n"/>
      <c r="K23" s="18" t="n"/>
      <c r="L23" s="18" t="n"/>
    </row>
    <row r="24">
      <c r="A24" s="17" t="n"/>
      <c r="B24" s="18" t="n"/>
      <c r="C24" s="18" t="n"/>
      <c r="D24" s="18" t="n"/>
      <c r="E24" s="18" t="n"/>
      <c r="F24" s="19" t="n"/>
      <c r="G24" s="20">
        <f>IF(D24="","",E24*F24)</f>
        <v/>
      </c>
      <c r="H24" s="18" t="n"/>
      <c r="I24" s="18" t="n"/>
      <c r="J24" s="18" t="n"/>
      <c r="K24" s="18" t="n"/>
      <c r="L24" s="18" t="n"/>
    </row>
    <row r="25">
      <c r="A25" s="17" t="n"/>
      <c r="B25" s="18" t="n"/>
      <c r="C25" s="18" t="n"/>
      <c r="D25" s="18" t="n"/>
      <c r="E25" s="18" t="n"/>
      <c r="F25" s="19" t="n"/>
      <c r="G25" s="20">
        <f>IF(D25="","",E25*F25)</f>
        <v/>
      </c>
      <c r="H25" s="18" t="n"/>
      <c r="I25" s="18" t="n"/>
      <c r="J25" s="18" t="n"/>
      <c r="K25" s="18" t="n"/>
      <c r="L25" s="18" t="n"/>
    </row>
    <row r="26">
      <c r="A26" s="17" t="n"/>
      <c r="B26" s="18" t="n"/>
      <c r="C26" s="18" t="n"/>
      <c r="D26" s="18" t="n"/>
      <c r="E26" s="18" t="n"/>
      <c r="F26" s="19" t="n"/>
      <c r="G26" s="20">
        <f>IF(D26="","",E26*F26)</f>
        <v/>
      </c>
      <c r="H26" s="18" t="n"/>
      <c r="I26" s="18" t="n"/>
      <c r="J26" s="18" t="n"/>
      <c r="K26" s="18" t="n"/>
      <c r="L26" s="18" t="n"/>
    </row>
    <row r="27">
      <c r="A27" s="17" t="n"/>
      <c r="B27" s="18" t="n"/>
      <c r="C27" s="18" t="n"/>
      <c r="D27" s="18" t="n"/>
      <c r="E27" s="18" t="n"/>
      <c r="F27" s="19" t="n"/>
      <c r="G27" s="20">
        <f>IF(D27="","",E27*F27)</f>
        <v/>
      </c>
      <c r="H27" s="18" t="n"/>
      <c r="I27" s="18" t="n"/>
      <c r="J27" s="18" t="n"/>
      <c r="K27" s="18" t="n"/>
      <c r="L27" s="18" t="n"/>
    </row>
    <row r="28">
      <c r="A28" s="17" t="n"/>
      <c r="B28" s="18" t="n"/>
      <c r="C28" s="18" t="n"/>
      <c r="D28" s="18" t="n"/>
      <c r="E28" s="18" t="n"/>
      <c r="F28" s="19" t="n"/>
      <c r="G28" s="20">
        <f>IF(D28="","",E28*F28)</f>
        <v/>
      </c>
      <c r="H28" s="18" t="n"/>
      <c r="I28" s="18" t="n"/>
      <c r="J28" s="18" t="n"/>
      <c r="K28" s="18" t="n"/>
      <c r="L28" s="18" t="n"/>
    </row>
    <row r="29">
      <c r="A29" s="17" t="n"/>
      <c r="B29" s="18" t="n"/>
      <c r="C29" s="18" t="n"/>
      <c r="D29" s="18" t="n"/>
      <c r="E29" s="18" t="n"/>
      <c r="F29" s="19" t="n"/>
      <c r="G29" s="20">
        <f>IF(D29="","",E29*F29)</f>
        <v/>
      </c>
      <c r="H29" s="18" t="n"/>
      <c r="I29" s="18" t="n"/>
      <c r="J29" s="18" t="n"/>
      <c r="K29" s="18" t="n"/>
      <c r="L29" s="18" t="n"/>
    </row>
    <row r="30">
      <c r="A30" s="17" t="n"/>
      <c r="B30" s="18" t="n"/>
      <c r="C30" s="18" t="n"/>
      <c r="D30" s="18" t="n"/>
      <c r="E30" s="18" t="n"/>
      <c r="F30" s="19" t="n"/>
      <c r="G30" s="20">
        <f>IF(D30="","",E30*F30)</f>
        <v/>
      </c>
      <c r="H30" s="18" t="n"/>
      <c r="I30" s="18" t="n"/>
      <c r="J30" s="18" t="n"/>
      <c r="K30" s="18" t="n"/>
      <c r="L30" s="18" t="n"/>
    </row>
    <row r="31">
      <c r="A31" s="17" t="n"/>
      <c r="B31" s="18" t="n"/>
      <c r="C31" s="18" t="n"/>
      <c r="D31" s="18" t="n"/>
      <c r="E31" s="18" t="n"/>
      <c r="F31" s="19" t="n"/>
      <c r="G31" s="20">
        <f>IF(D31="","",E31*F31)</f>
        <v/>
      </c>
      <c r="H31" s="18" t="n"/>
      <c r="I31" s="18" t="n"/>
      <c r="J31" s="18" t="n"/>
      <c r="K31" s="18" t="n"/>
      <c r="L31" s="18" t="n"/>
    </row>
    <row r="32">
      <c r="A32" s="17" t="n"/>
      <c r="B32" s="18" t="n"/>
      <c r="C32" s="18" t="n"/>
      <c r="D32" s="18" t="n"/>
      <c r="E32" s="18" t="n"/>
      <c r="F32" s="19" t="n"/>
      <c r="G32" s="20">
        <f>IF(D32="","",E32*F32)</f>
        <v/>
      </c>
      <c r="H32" s="18" t="n"/>
      <c r="I32" s="18" t="n"/>
      <c r="J32" s="18" t="n"/>
      <c r="K32" s="18" t="n"/>
      <c r="L32" s="18" t="n"/>
    </row>
    <row r="33">
      <c r="A33" s="17" t="n"/>
      <c r="B33" s="18" t="n"/>
      <c r="C33" s="18" t="n"/>
      <c r="D33" s="18" t="n"/>
      <c r="E33" s="18" t="n"/>
      <c r="F33" s="19" t="n"/>
      <c r="G33" s="20">
        <f>IF(D33="","",E33*F33)</f>
        <v/>
      </c>
      <c r="H33" s="18" t="n"/>
      <c r="I33" s="18" t="n"/>
      <c r="J33" s="18" t="n"/>
      <c r="K33" s="18" t="n"/>
      <c r="L33" s="18" t="n"/>
    </row>
    <row r="34">
      <c r="A34" s="17" t="n"/>
      <c r="B34" s="18" t="n"/>
      <c r="C34" s="18" t="n"/>
      <c r="D34" s="18" t="n"/>
      <c r="E34" s="18" t="n"/>
      <c r="F34" s="19" t="n"/>
      <c r="G34" s="20">
        <f>IF(D34="","",E34*F34)</f>
        <v/>
      </c>
      <c r="H34" s="18" t="n"/>
      <c r="I34" s="18" t="n"/>
      <c r="J34" s="18" t="n"/>
      <c r="K34" s="18" t="n"/>
      <c r="L34" s="18" t="n"/>
    </row>
    <row r="35">
      <c r="A35" s="17" t="n"/>
      <c r="B35" s="18" t="n"/>
      <c r="C35" s="18" t="n"/>
      <c r="D35" s="18" t="n"/>
      <c r="E35" s="18" t="n"/>
      <c r="F35" s="19" t="n"/>
      <c r="G35" s="20">
        <f>IF(D35="","",E35*F35)</f>
        <v/>
      </c>
      <c r="H35" s="18" t="n"/>
      <c r="I35" s="18" t="n"/>
      <c r="J35" s="18" t="n"/>
      <c r="K35" s="18" t="n"/>
      <c r="L35" s="18" t="n"/>
    </row>
    <row r="36">
      <c r="A36" s="17" t="n"/>
      <c r="B36" s="18" t="n"/>
      <c r="C36" s="18" t="n"/>
      <c r="D36" s="18" t="n"/>
      <c r="E36" s="18" t="n"/>
      <c r="F36" s="19" t="n"/>
      <c r="G36" s="20">
        <f>IF(D36="","",E36*F36)</f>
        <v/>
      </c>
      <c r="H36" s="18" t="n"/>
      <c r="I36" s="18" t="n"/>
      <c r="J36" s="18" t="n"/>
      <c r="K36" s="18" t="n"/>
      <c r="L36" s="18" t="n"/>
    </row>
    <row r="37">
      <c r="A37" s="17" t="n"/>
      <c r="B37" s="18" t="n"/>
      <c r="C37" s="18" t="n"/>
      <c r="D37" s="18" t="n"/>
      <c r="E37" s="18" t="n"/>
      <c r="F37" s="19" t="n"/>
      <c r="G37" s="20">
        <f>IF(D37="","",E37*F37)</f>
        <v/>
      </c>
      <c r="H37" s="18" t="n"/>
      <c r="I37" s="18" t="n"/>
      <c r="J37" s="18" t="n"/>
      <c r="K37" s="18" t="n"/>
      <c r="L37" s="18" t="n"/>
    </row>
    <row r="38">
      <c r="A38" s="17" t="n"/>
      <c r="B38" s="18" t="n"/>
      <c r="C38" s="18" t="n"/>
      <c r="D38" s="18" t="n"/>
      <c r="E38" s="18" t="n"/>
      <c r="F38" s="19" t="n"/>
      <c r="G38" s="20">
        <f>IF(D38="","",E38*F38)</f>
        <v/>
      </c>
      <c r="H38" s="18" t="n"/>
      <c r="I38" s="18" t="n"/>
      <c r="J38" s="18" t="n"/>
      <c r="K38" s="18" t="n"/>
      <c r="L38" s="18" t="n"/>
    </row>
  </sheetData>
  <mergeCells count="2">
    <mergeCell ref="A2:L2"/>
    <mergeCell ref="A1:L1"/>
  </mergeCells>
  <conditionalFormatting sqref="H4:H38">
    <cfRule type="expression" priority="1" dxfId="0">
      <formula>$H4="אושר"</formula>
    </cfRule>
    <cfRule type="expression" priority="2" dxfId="1">
      <formula>$H4="ממתין לאישור"</formula>
    </cfRule>
    <cfRule type="expression" priority="3" dxfId="2">
      <formula>$H4="נדחה"</formula>
    </cfRule>
  </conditionalFormatting>
  <dataValidations count="4">
    <dataValidation sqref="H4:H38" showDropDown="0" showInputMessage="0" showErrorMessage="0" allowBlank="1" type="list">
      <formula1>"ממתין לאישור,אושר,נדחה"</formula1>
    </dataValidation>
    <dataValidation sqref="I4:I38" showDropDown="0" showInputMessage="0" showErrorMessage="0" allowBlank="1" type="list">
      <formula1>"טרם החל,בביצוע,הושלם"</formula1>
    </dataValidation>
    <dataValidation sqref="J4:J38" showDropDown="0" showInputMessage="0" showErrorMessage="0" allowBlank="1" type="list">
      <formula1>"כן,לא"</formula1>
    </dataValidation>
    <dataValidation sqref="K4:K38" showDropDown="0" showInputMessage="0" showErrorMessage="0" allowBlank="1" type="list">
      <formula1>"כן,לא"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2F0D9"/>
    <outlinePr summaryBelow="1" summaryRight="1"/>
    <pageSetUpPr/>
  </sheetPr>
  <dimension ref="A1:B14"/>
  <sheetViews>
    <sheetView showGridLines="0" rightToLeft="1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 ht="44" customHeight="1">
      <c r="A1" s="10" t="inlineStr">
        <is>
          <t>התחלה מהירה</t>
        </is>
      </c>
      <c r="B1" s="2" t="n"/>
    </row>
    <row r="2" ht="24" customHeight="1">
      <c r="A2" s="3" t="inlineStr">
        <is>
          <t>5 צעדים ואתם בפנים</t>
        </is>
      </c>
      <c r="B2" s="4" t="n"/>
    </row>
    <row r="4" ht="34" customHeight="1">
      <c r="A4" s="21" t="inlineStr">
        <is>
          <t>1. עברו ללשונית 'שולחן עבודה'.</t>
        </is>
      </c>
    </row>
    <row r="6" ht="34" customHeight="1">
      <c r="A6" s="21" t="inlineStr">
        <is>
          <t>2. כשלקוח מבקש תוספת/שינוי מעבר להצעה המקורית, הוסיפו שורה עם תיאור, כמות ומחיר.</t>
        </is>
      </c>
    </row>
    <row r="8" ht="34" customHeight="1">
      <c r="A8" s="21" t="inlineStr">
        <is>
          <t>3. עדכנו את סטטוס אישור הלקוח — חשוב לתעד אישור *לפני* ביצוע התוספת.</t>
        </is>
      </c>
    </row>
    <row r="10" ht="34" customHeight="1">
      <c r="A10" s="21" t="inlineStr">
        <is>
          <t>4. עדכנו סטטוס ביצוע, ואז סמנו 'חויב' ו'שולם' בהתאם.</t>
        </is>
      </c>
    </row>
    <row r="12" ht="34" customHeight="1">
      <c r="A12" s="21" t="inlineStr">
        <is>
          <t>5. עברו ל-לוח הבקרה לוודא שאין עבודות שהושלמו בלי לחייב עליהן.</t>
        </is>
      </c>
    </row>
    <row r="14" ht="40" customHeight="1">
      <c r="A14" s="22" t="inlineStr">
        <is>
          <t>טיפ: תוספת בעל פה = כסף שנשכח. תעדו כל תוספת כאן ברגע שהיא סוכמה עם הלקוח.</t>
        </is>
      </c>
    </row>
  </sheetData>
  <mergeCells count="8">
    <mergeCell ref="A4:B4"/>
    <mergeCell ref="A2:B2"/>
    <mergeCell ref="A10:B10"/>
    <mergeCell ref="A14:B14"/>
    <mergeCell ref="A1:B1"/>
    <mergeCell ref="A8:B8"/>
    <mergeCell ref="A6:B6"/>
    <mergeCell ref="A12:B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D9EAF7"/>
    <outlinePr summaryBelow="1" summaryRight="1"/>
    <pageSetUpPr/>
  </sheetPr>
  <dimension ref="A1:C16"/>
  <sheetViews>
    <sheetView showGridLines="0" rightToLeft="1"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70" customWidth="1" min="3" max="3"/>
  </cols>
  <sheetData>
    <row r="1" ht="44" customHeight="1">
      <c r="A1" s="10" t="inlineStr">
        <is>
          <t>מדריך שימוש</t>
        </is>
      </c>
      <c r="B1" s="2" t="n"/>
      <c r="C1" s="2" t="n"/>
    </row>
    <row r="2" ht="24" customHeight="1">
      <c r="A2" s="3" t="inlineStr">
        <is>
          <t>הסבר מלא לכל שדה ולכל חישוב</t>
        </is>
      </c>
      <c r="B2" s="4" t="n"/>
      <c r="C2" s="4" t="n"/>
    </row>
    <row r="4" ht="46" customHeight="1">
      <c r="B4" s="23" t="inlineStr">
        <is>
          <t>מה זה?</t>
        </is>
      </c>
      <c r="C4" s="24" t="inlineStr">
        <is>
          <t>כלי למעקב אחר תוספות ושינויים מעבר להצעת המחיר המקורית.</t>
        </is>
      </c>
    </row>
    <row r="5" ht="46" customHeight="1">
      <c r="B5" s="23" t="inlineStr">
        <is>
          <t>למי זה מתאים?</t>
        </is>
      </c>
      <c r="C5" s="24" t="inlineStr">
        <is>
          <t>כל קבלן שנתקל בבקשות 'אפשר גם...' מלקוחות במהלך העבודה.</t>
        </is>
      </c>
    </row>
    <row r="6" ht="46" customHeight="1">
      <c r="B6" s="23" t="inlineStr">
        <is>
          <t>איזו בעיה זה פותר?</t>
        </is>
      </c>
      <c r="C6" s="24" t="inlineStr">
        <is>
          <t>תוספות שסוכמו בעל פה, בוצעו, ונשכחו — וכך מעולם לא חויבו.</t>
        </is>
      </c>
    </row>
    <row r="7" ht="46" customHeight="1">
      <c r="B7" s="23" t="inlineStr">
        <is>
          <t>איך מתחילים?</t>
        </is>
      </c>
      <c r="C7" s="24" t="inlineStr">
        <is>
          <t>כל פעם שיש בקשת תוספת, תעדו אותה כאן מיד.</t>
        </is>
      </c>
    </row>
    <row r="8" ht="46" customHeight="1">
      <c r="B8" s="23" t="inlineStr">
        <is>
          <t>מה צריך להזין?</t>
        </is>
      </c>
      <c r="C8" s="24" t="inlineStr">
        <is>
          <t>תאריך, פרויקט, לקוח, תיאור, כמות, מחיר ליחידה, אישור לקוח, סטטוס ביצוע, חויב, שולם.</t>
        </is>
      </c>
    </row>
    <row r="9" ht="46" customHeight="1">
      <c r="B9" s="23" t="inlineStr">
        <is>
          <t>מה מחושב אוטומטית?</t>
        </is>
      </c>
      <c r="C9" s="24" t="inlineStr">
        <is>
          <t>סה"כ לכל תוספת (כמות × מחיר), וכל מדדי לוח הבקרה.</t>
        </is>
      </c>
    </row>
    <row r="10" ht="46" customHeight="1">
      <c r="B10" s="23" t="inlineStr">
        <is>
          <t>מה לוח הבקרה מציג?</t>
        </is>
      </c>
      <c r="C10" s="24" t="inlineStr">
        <is>
          <t>סה"כ תוספות, תוספות מאושרות, ממתינות לאישור, הושלמו ולא חויבו, וחויבו ולא שולמו.</t>
        </is>
      </c>
    </row>
    <row r="11" ht="46" customHeight="1">
      <c r="B11" s="23" t="inlineStr">
        <is>
          <t>טיפים</t>
        </is>
      </c>
      <c r="C11" s="24" t="inlineStr">
        <is>
          <t>1) קבלו אישור לקוח *לפני* ביצוע תוספת, לא אחרי. 2) בדקו את הדוח 'הושלם ולא חויב' לפני סגירת חודש.</t>
        </is>
      </c>
    </row>
    <row r="13">
      <c r="B13" s="25" t="inlineStr">
        <is>
          <t>שאלות נפוצות</t>
        </is>
      </c>
    </row>
    <row r="14" ht="40" customHeight="1">
      <c r="B14" s="26" t="inlineStr">
        <is>
          <t>מה אם הלקוח מבקש תוספת בעל פה?</t>
        </is>
      </c>
      <c r="C14" s="24" t="inlineStr">
        <is>
          <t>תעדו אותה מיד בטבלה, גם אם האישור הפורמלי יגיע מאוחר יותר.</t>
        </is>
      </c>
    </row>
    <row r="15" ht="40" customHeight="1">
      <c r="B15" s="26" t="inlineStr">
        <is>
          <t>איך זה מתחבר לפרויקט המקורי?</t>
        </is>
      </c>
      <c r="C15" s="24" t="inlineStr">
        <is>
          <t>דרך עמודת 'פרויקט' (שם הפרויקט), כך שאפשר לראות את כל התוספות של פרויקט מסוים — חשוב להקליד את השם זהה לכל המוצרים האחרים.</t>
        </is>
      </c>
    </row>
    <row r="16" ht="40" customHeight="1">
      <c r="B16" s="26" t="inlineStr">
        <is>
          <t>מה ההבדל בין 'חויב' ל'שולם'?</t>
        </is>
      </c>
      <c r="C16" s="24" t="inlineStr">
        <is>
          <t>חויב = הוצאה חשבונית/דרישת תשלום. שולם = הכסף התקבל בפועל.</t>
        </is>
      </c>
    </row>
  </sheetData>
  <mergeCells count="3">
    <mergeCell ref="A1:C1"/>
    <mergeCell ref="B13:C13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2026-09-13T19:32:29Z</dcterms:created>
  <dcterms:modified xsi:type="dcterms:W3CDTF">2026-09-13T19:32:29Z</dcterms:modified>
</cp:coreProperties>
</file>