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התחלה מהירה" sheetId="3" state="visible" r:id="rId3"/>
    <sheet name="מדריך שימו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5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1" fontId="9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right" vertical="center" wrapText="1"/>
    </xf>
    <xf numFmtId="0" fontId="11" fillId="4" borderId="0" applyAlignment="1" pivotButton="0" quotePrefix="0" xfId="0">
      <alignment horizontal="right" vertical="center" wrapText="1"/>
    </xf>
    <xf numFmtId="0" fontId="11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166" fontId="4" fillId="4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167" fontId="0" fillId="0" borderId="1" pivotButton="0" quotePrefix="0" xfId="0"/>
    <xf numFmtId="3" fontId="0" fillId="4" borderId="1" pivotButton="0" quotePrefix="0" xfId="0"/>
    <xf numFmtId="167" fontId="0" fillId="4" borderId="1" pivotButton="0" quotePrefix="0" xfId="0"/>
    <xf numFmtId="3" fontId="0" fillId="0" borderId="1" pivotButton="0" quotePrefix="0" xfId="0"/>
    <xf numFmtId="0" fontId="12" fillId="7" borderId="0" applyAlignment="1" pivotButton="0" quotePrefix="0" xfId="0">
      <alignment horizontal="right" vertical="center" wrapText="1"/>
    </xf>
    <xf numFmtId="0" fontId="13" fillId="5" borderId="0" applyAlignment="1" pivotButton="0" quotePrefix="0" xfId="0">
      <alignment horizontal="right" vertical="center" wrapText="1"/>
    </xf>
    <xf numFmtId="0" fontId="1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F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6" customHeight="1">
      <c r="B2" s="1" t="inlineStr">
        <is>
          <t>לוח בקרה — מעקב שעות ועלות עובדים</t>
        </is>
      </c>
      <c r="C2" s="2" t="n"/>
      <c r="D2" s="2" t="n"/>
      <c r="E2" s="2" t="n"/>
      <c r="F2" s="2" t="n"/>
    </row>
    <row r="3" ht="22" customHeight="1">
      <c r="B3" s="3" t="inlineStr">
        <is>
          <t>JobMargin — דעו את עלות העבודה האמיתית שלכם, כל יום</t>
        </is>
      </c>
      <c r="C3" s="4" t="n"/>
      <c r="D3" s="4" t="n"/>
      <c r="E3" s="4" t="n"/>
      <c r="F3" s="4" t="n"/>
    </row>
    <row r="5" ht="30" customHeight="1">
      <c r="B5" s="5" t="inlineStr">
        <is>
          <t>סה"כ שעות</t>
        </is>
      </c>
      <c r="C5" s="5" t="inlineStr">
        <is>
          <t>עלות עבודה כוללת (₪)</t>
        </is>
      </c>
      <c r="D5" s="5" t="inlineStr">
        <is>
          <t>שעות נוספות כוללות</t>
        </is>
      </c>
      <c r="E5" s="5" t="inlineStr">
        <is>
          <t>עלות שעה ממוצעת (₪)</t>
        </is>
      </c>
      <c r="F5" s="5" t="inlineStr">
        <is>
          <t>ימי עבודה שנרשמו</t>
        </is>
      </c>
    </row>
    <row r="6" ht="34" customHeight="1">
      <c r="B6" s="6">
        <f>SUM('שולחן עבודה'!F4:F38)+SUM('שולחן עבודה'!G4:G38)</f>
        <v/>
      </c>
      <c r="C6" s="7">
        <f>SUM('שולחן עבודה'!J4:J38)</f>
        <v/>
      </c>
      <c r="D6" s="6">
        <f>SUM('שולחן עבודה'!G4:G38)</f>
        <v/>
      </c>
      <c r="E6" s="7">
        <f>IFERROR(SUM('שולחן עבודה'!J4:J38)/(SUM('שולחן עבודה'!F4:F38)+SUM('שולחן עבודה'!G4:G38)),0)</f>
        <v/>
      </c>
      <c r="F6" s="8">
        <f>COUNTA('שולחן עבודה'!B4:B38)</f>
        <v/>
      </c>
    </row>
    <row r="9" ht="26" customHeight="1">
      <c r="B9" s="9" t="inlineStr">
        <is>
          <t>⚠ תובנות עסקיות והתראות</t>
        </is>
      </c>
    </row>
    <row r="10" ht="22" customHeight="1">
      <c r="B10" s="10">
        <f>IF(SUM('שולחן עבודה'!G4:G38)&gt;20,"סך שעות נוספות גבוה החודש — בדקו עומס עבודה.","שעות נוספות בטווח סביר.")</f>
        <v/>
      </c>
    </row>
    <row r="11" ht="22" customHeight="1">
      <c r="B11" s="11">
        <f>IF(COUNTA('שולחן עבודה'!B4:B38)=0,"עדיין לא הוזנו נתוני שעות.","נתוני השעות מתעדכנים אוטומטית מהלשונית שולחן עבודה.")</f>
        <v/>
      </c>
    </row>
  </sheetData>
  <mergeCells count="5">
    <mergeCell ref="B2:F2"/>
    <mergeCell ref="B10:F10"/>
    <mergeCell ref="B11:F11"/>
    <mergeCell ref="B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K3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20" customWidth="1" min="11" max="11"/>
  </cols>
  <sheetData>
    <row r="1" ht="44" customHeight="1">
      <c r="A1" s="12" t="inlineStr">
        <is>
          <t>מעקב שעות ועלות עובדים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הזינו נתונים בתאים הצהובים בלבד — שעות ועלות מחושבות אוטומטית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34" customHeight="1">
      <c r="A3" s="13" t="inlineStr">
        <is>
          <t>תאריך</t>
        </is>
      </c>
      <c r="B3" s="13" t="inlineStr">
        <is>
          <t>עובד</t>
        </is>
      </c>
      <c r="C3" s="13" t="inlineStr">
        <is>
          <t>פרויקט</t>
        </is>
      </c>
      <c r="D3" s="13" t="inlineStr">
        <is>
          <t>שעת התחלה</t>
        </is>
      </c>
      <c r="E3" s="13" t="inlineStr">
        <is>
          <t>שעת סיום</t>
        </is>
      </c>
      <c r="F3" s="13" t="inlineStr">
        <is>
          <t>שעות רגילות</t>
        </is>
      </c>
      <c r="G3" s="13" t="inlineStr">
        <is>
          <t>שעות נוספות</t>
        </is>
      </c>
      <c r="H3" s="13" t="inlineStr">
        <is>
          <t>עלות שעה (₪)</t>
        </is>
      </c>
      <c r="I3" s="13" t="inlineStr">
        <is>
          <t>מקדם נוספות</t>
        </is>
      </c>
      <c r="J3" s="13" t="inlineStr">
        <is>
          <t>עלות יומית (₪)</t>
        </is>
      </c>
      <c r="K3" s="13" t="inlineStr">
        <is>
          <t>הערות</t>
        </is>
      </c>
    </row>
    <row r="4">
      <c r="A4" s="14" t="n">
        <v>46034</v>
      </c>
      <c r="B4" s="15" t="inlineStr">
        <is>
          <t>דוד אזולאי</t>
        </is>
      </c>
      <c r="C4" s="15" t="inlineStr">
        <is>
          <t>שיפוץ מטבח - וילה כהן</t>
        </is>
      </c>
      <c r="D4" s="16" t="n">
        <v>0.3125</v>
      </c>
      <c r="E4" s="16" t="n">
        <v>0.6666666666666666</v>
      </c>
      <c r="F4" s="17">
        <f>MIN((E4-D4)*24,8)</f>
        <v/>
      </c>
      <c r="G4" s="17">
        <f>MAX((E4-D4)*24-8,0)</f>
        <v/>
      </c>
      <c r="H4" s="18" t="n">
        <v>85</v>
      </c>
      <c r="I4" s="19" t="n">
        <v>1.5</v>
      </c>
      <c r="J4" s="20">
        <f>F4*H4+G4*H4*I4</f>
        <v/>
      </c>
      <c r="K4" s="21" t="inlineStr"/>
    </row>
    <row r="5">
      <c r="A5" s="14" t="n">
        <v>46034</v>
      </c>
      <c r="B5" s="15" t="inlineStr">
        <is>
          <t>משה כהן</t>
        </is>
      </c>
      <c r="C5" s="15" t="inlineStr">
        <is>
          <t>שיפוץ מטבח - וילה כהן</t>
        </is>
      </c>
      <c r="D5" s="16" t="n">
        <v>0.3125</v>
      </c>
      <c r="E5" s="16" t="n">
        <v>0.6458333333333334</v>
      </c>
      <c r="F5" s="17">
        <f>MIN((E5-D5)*24,8)</f>
        <v/>
      </c>
      <c r="G5" s="17">
        <f>MAX((E5-D5)*24-8,0)</f>
        <v/>
      </c>
      <c r="H5" s="18" t="n">
        <v>85</v>
      </c>
      <c r="I5" s="19" t="n">
        <v>1.5</v>
      </c>
      <c r="J5" s="20">
        <f>F5*H5+G5*H5*I5</f>
        <v/>
      </c>
      <c r="K5" s="21" t="inlineStr"/>
    </row>
    <row r="6">
      <c r="A6" s="14" t="n">
        <v>46035</v>
      </c>
      <c r="B6" s="15" t="inlineStr">
        <is>
          <t>דוד אזולאי</t>
        </is>
      </c>
      <c r="C6" s="15" t="inlineStr">
        <is>
          <t>החלפת לוח חשמל</t>
        </is>
      </c>
      <c r="D6" s="16" t="n">
        <v>0.3333333333333333</v>
      </c>
      <c r="E6" s="16" t="n">
        <v>0.7708333333333334</v>
      </c>
      <c r="F6" s="17">
        <f>MIN((E6-D6)*24,8)</f>
        <v/>
      </c>
      <c r="G6" s="17">
        <f>MAX((E6-D6)*24-8,0)</f>
        <v/>
      </c>
      <c r="H6" s="18" t="n">
        <v>90</v>
      </c>
      <c r="I6" s="19" t="n">
        <v>1.5</v>
      </c>
      <c r="J6" s="20">
        <f>F6*H6+G6*H6*I6</f>
        <v/>
      </c>
      <c r="K6" s="21" t="inlineStr"/>
    </row>
    <row r="7">
      <c r="A7" s="14" t="n">
        <v>46035</v>
      </c>
      <c r="B7" s="15" t="inlineStr">
        <is>
          <t>רון לוי</t>
        </is>
      </c>
      <c r="C7" s="15" t="inlineStr">
        <is>
          <t>שיפוץ מטבח - וילה כהן</t>
        </is>
      </c>
      <c r="D7" s="16" t="n">
        <v>0.3333333333333333</v>
      </c>
      <c r="E7" s="16" t="n">
        <v>0.6666666666666666</v>
      </c>
      <c r="F7" s="17">
        <f>MIN((E7-D7)*24,8)</f>
        <v/>
      </c>
      <c r="G7" s="17">
        <f>MAX((E7-D7)*24-8,0)</f>
        <v/>
      </c>
      <c r="H7" s="18" t="n">
        <v>80</v>
      </c>
      <c r="I7" s="19" t="n">
        <v>1.5</v>
      </c>
      <c r="J7" s="20">
        <f>F7*H7+G7*H7*I7</f>
        <v/>
      </c>
      <c r="K7" s="21" t="inlineStr"/>
    </row>
    <row r="8">
      <c r="A8" s="14" t="n">
        <v>46036</v>
      </c>
      <c r="B8" s="15" t="inlineStr">
        <is>
          <t>משה כהן</t>
        </is>
      </c>
      <c r="C8" s="15" t="inlineStr">
        <is>
          <t>החלפת לוח חשמל</t>
        </is>
      </c>
      <c r="D8" s="16" t="n">
        <v>0.3333333333333333</v>
      </c>
      <c r="E8" s="16" t="n">
        <v>0.5833333333333334</v>
      </c>
      <c r="F8" s="17">
        <f>MIN((E8-D8)*24,8)</f>
        <v/>
      </c>
      <c r="G8" s="17">
        <f>MAX((E8-D8)*24-8,0)</f>
        <v/>
      </c>
      <c r="H8" s="18" t="n">
        <v>85</v>
      </c>
      <c r="I8" s="19" t="n">
        <v>1.5</v>
      </c>
      <c r="J8" s="20">
        <f>F8*H8+G8*H8*I8</f>
        <v/>
      </c>
      <c r="K8" s="21" t="inlineStr"/>
    </row>
    <row r="9">
      <c r="A9" s="22" t="n"/>
      <c r="B9" s="23" t="n"/>
      <c r="C9" s="23" t="n"/>
      <c r="D9" s="24" t="n"/>
      <c r="E9" s="24" t="n"/>
      <c r="F9" s="25">
        <f>IF(B9="","",MIN((E9-D9)*24,8))</f>
        <v/>
      </c>
      <c r="G9" s="25">
        <f>IF(B9="","",MAX((E9-D9)*24-8,0))</f>
        <v/>
      </c>
      <c r="H9" s="26" t="n"/>
      <c r="I9" s="27" t="n"/>
      <c r="J9" s="28">
        <f>IF(B9="","",F9*H9+G9*H9*I9)</f>
        <v/>
      </c>
      <c r="K9" s="23" t="n"/>
    </row>
    <row r="10">
      <c r="A10" s="22" t="n"/>
      <c r="B10" s="23" t="n"/>
      <c r="C10" s="23" t="n"/>
      <c r="D10" s="24" t="n"/>
      <c r="E10" s="24" t="n"/>
      <c r="F10" s="25">
        <f>IF(B10="","",MIN((E10-D10)*24,8))</f>
        <v/>
      </c>
      <c r="G10" s="25">
        <f>IF(B10="","",MAX((E10-D10)*24-8,0))</f>
        <v/>
      </c>
      <c r="H10" s="26" t="n"/>
      <c r="I10" s="27" t="n"/>
      <c r="J10" s="28">
        <f>IF(B10="","",F10*H10+G10*H10*I10)</f>
        <v/>
      </c>
      <c r="K10" s="23" t="n"/>
    </row>
    <row r="11">
      <c r="A11" s="22" t="n"/>
      <c r="B11" s="23" t="n"/>
      <c r="C11" s="23" t="n"/>
      <c r="D11" s="24" t="n"/>
      <c r="E11" s="24" t="n"/>
      <c r="F11" s="25">
        <f>IF(B11="","",MIN((E11-D11)*24,8))</f>
        <v/>
      </c>
      <c r="G11" s="25">
        <f>IF(B11="","",MAX((E11-D11)*24-8,0))</f>
        <v/>
      </c>
      <c r="H11" s="26" t="n"/>
      <c r="I11" s="27" t="n"/>
      <c r="J11" s="28">
        <f>IF(B11="","",F11*H11+G11*H11*I11)</f>
        <v/>
      </c>
      <c r="K11" s="23" t="n"/>
    </row>
    <row r="12">
      <c r="A12" s="22" t="n"/>
      <c r="B12" s="23" t="n"/>
      <c r="C12" s="23" t="n"/>
      <c r="D12" s="24" t="n"/>
      <c r="E12" s="24" t="n"/>
      <c r="F12" s="25">
        <f>IF(B12="","",MIN((E12-D12)*24,8))</f>
        <v/>
      </c>
      <c r="G12" s="25">
        <f>IF(B12="","",MAX((E12-D12)*24-8,0))</f>
        <v/>
      </c>
      <c r="H12" s="26" t="n"/>
      <c r="I12" s="27" t="n"/>
      <c r="J12" s="28">
        <f>IF(B12="","",F12*H12+G12*H12*I12)</f>
        <v/>
      </c>
      <c r="K12" s="23" t="n"/>
    </row>
    <row r="13">
      <c r="A13" s="22" t="n"/>
      <c r="B13" s="23" t="n"/>
      <c r="C13" s="23" t="n"/>
      <c r="D13" s="24" t="n"/>
      <c r="E13" s="24" t="n"/>
      <c r="F13" s="25">
        <f>IF(B13="","",MIN((E13-D13)*24,8))</f>
        <v/>
      </c>
      <c r="G13" s="25">
        <f>IF(B13="","",MAX((E13-D13)*24-8,0))</f>
        <v/>
      </c>
      <c r="H13" s="26" t="n"/>
      <c r="I13" s="27" t="n"/>
      <c r="J13" s="28">
        <f>IF(B13="","",F13*H13+G13*H13*I13)</f>
        <v/>
      </c>
      <c r="K13" s="23" t="n"/>
    </row>
    <row r="14">
      <c r="A14" s="22" t="n"/>
      <c r="B14" s="23" t="n"/>
      <c r="C14" s="23" t="n"/>
      <c r="D14" s="24" t="n"/>
      <c r="E14" s="24" t="n"/>
      <c r="F14" s="25">
        <f>IF(B14="","",MIN((E14-D14)*24,8))</f>
        <v/>
      </c>
      <c r="G14" s="25">
        <f>IF(B14="","",MAX((E14-D14)*24-8,0))</f>
        <v/>
      </c>
      <c r="H14" s="26" t="n"/>
      <c r="I14" s="27" t="n"/>
      <c r="J14" s="28">
        <f>IF(B14="","",F14*H14+G14*H14*I14)</f>
        <v/>
      </c>
      <c r="K14" s="23" t="n"/>
    </row>
    <row r="15">
      <c r="A15" s="22" t="n"/>
      <c r="B15" s="23" t="n"/>
      <c r="C15" s="23" t="n"/>
      <c r="D15" s="24" t="n"/>
      <c r="E15" s="24" t="n"/>
      <c r="F15" s="25">
        <f>IF(B15="","",MIN((E15-D15)*24,8))</f>
        <v/>
      </c>
      <c r="G15" s="25">
        <f>IF(B15="","",MAX((E15-D15)*24-8,0))</f>
        <v/>
      </c>
      <c r="H15" s="26" t="n"/>
      <c r="I15" s="27" t="n"/>
      <c r="J15" s="28">
        <f>IF(B15="","",F15*H15+G15*H15*I15)</f>
        <v/>
      </c>
      <c r="K15" s="23" t="n"/>
    </row>
    <row r="16">
      <c r="A16" s="22" t="n"/>
      <c r="B16" s="23" t="n"/>
      <c r="C16" s="23" t="n"/>
      <c r="D16" s="24" t="n"/>
      <c r="E16" s="24" t="n"/>
      <c r="F16" s="25">
        <f>IF(B16="","",MIN((E16-D16)*24,8))</f>
        <v/>
      </c>
      <c r="G16" s="25">
        <f>IF(B16="","",MAX((E16-D16)*24-8,0))</f>
        <v/>
      </c>
      <c r="H16" s="26" t="n"/>
      <c r="I16" s="27" t="n"/>
      <c r="J16" s="28">
        <f>IF(B16="","",F16*H16+G16*H16*I16)</f>
        <v/>
      </c>
      <c r="K16" s="23" t="n"/>
    </row>
    <row r="17">
      <c r="A17" s="22" t="n"/>
      <c r="B17" s="23" t="n"/>
      <c r="C17" s="23" t="n"/>
      <c r="D17" s="24" t="n"/>
      <c r="E17" s="24" t="n"/>
      <c r="F17" s="25">
        <f>IF(B17="","",MIN((E17-D17)*24,8))</f>
        <v/>
      </c>
      <c r="G17" s="25">
        <f>IF(B17="","",MAX((E17-D17)*24-8,0))</f>
        <v/>
      </c>
      <c r="H17" s="26" t="n"/>
      <c r="I17" s="27" t="n"/>
      <c r="J17" s="28">
        <f>IF(B17="","",F17*H17+G17*H17*I17)</f>
        <v/>
      </c>
      <c r="K17" s="23" t="n"/>
    </row>
    <row r="18">
      <c r="A18" s="22" t="n"/>
      <c r="B18" s="23" t="n"/>
      <c r="C18" s="23" t="n"/>
      <c r="D18" s="24" t="n"/>
      <c r="E18" s="24" t="n"/>
      <c r="F18" s="25">
        <f>IF(B18="","",MIN((E18-D18)*24,8))</f>
        <v/>
      </c>
      <c r="G18" s="25">
        <f>IF(B18="","",MAX((E18-D18)*24-8,0))</f>
        <v/>
      </c>
      <c r="H18" s="26" t="n"/>
      <c r="I18" s="27" t="n"/>
      <c r="J18" s="28">
        <f>IF(B18="","",F18*H18+G18*H18*I18)</f>
        <v/>
      </c>
      <c r="K18" s="23" t="n"/>
    </row>
    <row r="19">
      <c r="A19" s="22" t="n"/>
      <c r="B19" s="23" t="n"/>
      <c r="C19" s="23" t="n"/>
      <c r="D19" s="24" t="n"/>
      <c r="E19" s="24" t="n"/>
      <c r="F19" s="25">
        <f>IF(B19="","",MIN((E19-D19)*24,8))</f>
        <v/>
      </c>
      <c r="G19" s="25">
        <f>IF(B19="","",MAX((E19-D19)*24-8,0))</f>
        <v/>
      </c>
      <c r="H19" s="26" t="n"/>
      <c r="I19" s="27" t="n"/>
      <c r="J19" s="28">
        <f>IF(B19="","",F19*H19+G19*H19*I19)</f>
        <v/>
      </c>
      <c r="K19" s="23" t="n"/>
    </row>
    <row r="20">
      <c r="A20" s="22" t="n"/>
      <c r="B20" s="23" t="n"/>
      <c r="C20" s="23" t="n"/>
      <c r="D20" s="24" t="n"/>
      <c r="E20" s="24" t="n"/>
      <c r="F20" s="25">
        <f>IF(B20="","",MIN((E20-D20)*24,8))</f>
        <v/>
      </c>
      <c r="G20" s="25">
        <f>IF(B20="","",MAX((E20-D20)*24-8,0))</f>
        <v/>
      </c>
      <c r="H20" s="26" t="n"/>
      <c r="I20" s="27" t="n"/>
      <c r="J20" s="28">
        <f>IF(B20="","",F20*H20+G20*H20*I20)</f>
        <v/>
      </c>
      <c r="K20" s="23" t="n"/>
    </row>
    <row r="21">
      <c r="A21" s="22" t="n"/>
      <c r="B21" s="23" t="n"/>
      <c r="C21" s="23" t="n"/>
      <c r="D21" s="24" t="n"/>
      <c r="E21" s="24" t="n"/>
      <c r="F21" s="25">
        <f>IF(B21="","",MIN((E21-D21)*24,8))</f>
        <v/>
      </c>
      <c r="G21" s="25">
        <f>IF(B21="","",MAX((E21-D21)*24-8,0))</f>
        <v/>
      </c>
      <c r="H21" s="26" t="n"/>
      <c r="I21" s="27" t="n"/>
      <c r="J21" s="28">
        <f>IF(B21="","",F21*H21+G21*H21*I21)</f>
        <v/>
      </c>
      <c r="K21" s="23" t="n"/>
    </row>
    <row r="22">
      <c r="A22" s="22" t="n"/>
      <c r="B22" s="23" t="n"/>
      <c r="C22" s="23" t="n"/>
      <c r="D22" s="24" t="n"/>
      <c r="E22" s="24" t="n"/>
      <c r="F22" s="25">
        <f>IF(B22="","",MIN((E22-D22)*24,8))</f>
        <v/>
      </c>
      <c r="G22" s="25">
        <f>IF(B22="","",MAX((E22-D22)*24-8,0))</f>
        <v/>
      </c>
      <c r="H22" s="26" t="n"/>
      <c r="I22" s="27" t="n"/>
      <c r="J22" s="28">
        <f>IF(B22="","",F22*H22+G22*H22*I22)</f>
        <v/>
      </c>
      <c r="K22" s="23" t="n"/>
    </row>
    <row r="23">
      <c r="A23" s="22" t="n"/>
      <c r="B23" s="23" t="n"/>
      <c r="C23" s="23" t="n"/>
      <c r="D23" s="24" t="n"/>
      <c r="E23" s="24" t="n"/>
      <c r="F23" s="25">
        <f>IF(B23="","",MIN((E23-D23)*24,8))</f>
        <v/>
      </c>
      <c r="G23" s="25">
        <f>IF(B23="","",MAX((E23-D23)*24-8,0))</f>
        <v/>
      </c>
      <c r="H23" s="26" t="n"/>
      <c r="I23" s="27" t="n"/>
      <c r="J23" s="28">
        <f>IF(B23="","",F23*H23+G23*H23*I23)</f>
        <v/>
      </c>
      <c r="K23" s="23" t="n"/>
    </row>
    <row r="24">
      <c r="A24" s="22" t="n"/>
      <c r="B24" s="23" t="n"/>
      <c r="C24" s="23" t="n"/>
      <c r="D24" s="24" t="n"/>
      <c r="E24" s="24" t="n"/>
      <c r="F24" s="25">
        <f>IF(B24="","",MIN((E24-D24)*24,8))</f>
        <v/>
      </c>
      <c r="G24" s="25">
        <f>IF(B24="","",MAX((E24-D24)*24-8,0))</f>
        <v/>
      </c>
      <c r="H24" s="26" t="n"/>
      <c r="I24" s="27" t="n"/>
      <c r="J24" s="28">
        <f>IF(B24="","",F24*H24+G24*H24*I24)</f>
        <v/>
      </c>
      <c r="K24" s="23" t="n"/>
    </row>
    <row r="25">
      <c r="A25" s="22" t="n"/>
      <c r="B25" s="23" t="n"/>
      <c r="C25" s="23" t="n"/>
      <c r="D25" s="24" t="n"/>
      <c r="E25" s="24" t="n"/>
      <c r="F25" s="25">
        <f>IF(B25="","",MIN((E25-D25)*24,8))</f>
        <v/>
      </c>
      <c r="G25" s="25">
        <f>IF(B25="","",MAX((E25-D25)*24-8,0))</f>
        <v/>
      </c>
      <c r="H25" s="26" t="n"/>
      <c r="I25" s="27" t="n"/>
      <c r="J25" s="28">
        <f>IF(B25="","",F25*H25+G25*H25*I25)</f>
        <v/>
      </c>
      <c r="K25" s="23" t="n"/>
    </row>
    <row r="26">
      <c r="A26" s="22" t="n"/>
      <c r="B26" s="23" t="n"/>
      <c r="C26" s="23" t="n"/>
      <c r="D26" s="24" t="n"/>
      <c r="E26" s="24" t="n"/>
      <c r="F26" s="25">
        <f>IF(B26="","",MIN((E26-D26)*24,8))</f>
        <v/>
      </c>
      <c r="G26" s="25">
        <f>IF(B26="","",MAX((E26-D26)*24-8,0))</f>
        <v/>
      </c>
      <c r="H26" s="26" t="n"/>
      <c r="I26" s="27" t="n"/>
      <c r="J26" s="28">
        <f>IF(B26="","",F26*H26+G26*H26*I26)</f>
        <v/>
      </c>
      <c r="K26" s="23" t="n"/>
    </row>
    <row r="27">
      <c r="A27" s="22" t="n"/>
      <c r="B27" s="23" t="n"/>
      <c r="C27" s="23" t="n"/>
      <c r="D27" s="24" t="n"/>
      <c r="E27" s="24" t="n"/>
      <c r="F27" s="25">
        <f>IF(B27="","",MIN((E27-D27)*24,8))</f>
        <v/>
      </c>
      <c r="G27" s="25">
        <f>IF(B27="","",MAX((E27-D27)*24-8,0))</f>
        <v/>
      </c>
      <c r="H27" s="26" t="n"/>
      <c r="I27" s="27" t="n"/>
      <c r="J27" s="28">
        <f>IF(B27="","",F27*H27+G27*H27*I27)</f>
        <v/>
      </c>
      <c r="K27" s="23" t="n"/>
    </row>
    <row r="28">
      <c r="A28" s="22" t="n"/>
      <c r="B28" s="23" t="n"/>
      <c r="C28" s="23" t="n"/>
      <c r="D28" s="24" t="n"/>
      <c r="E28" s="24" t="n"/>
      <c r="F28" s="25">
        <f>IF(B28="","",MIN((E28-D28)*24,8))</f>
        <v/>
      </c>
      <c r="G28" s="25">
        <f>IF(B28="","",MAX((E28-D28)*24-8,0))</f>
        <v/>
      </c>
      <c r="H28" s="26" t="n"/>
      <c r="I28" s="27" t="n"/>
      <c r="J28" s="28">
        <f>IF(B28="","",F28*H28+G28*H28*I28)</f>
        <v/>
      </c>
      <c r="K28" s="23" t="n"/>
    </row>
    <row r="29">
      <c r="A29" s="22" t="n"/>
      <c r="B29" s="23" t="n"/>
      <c r="C29" s="23" t="n"/>
      <c r="D29" s="24" t="n"/>
      <c r="E29" s="24" t="n"/>
      <c r="F29" s="25">
        <f>IF(B29="","",MIN((E29-D29)*24,8))</f>
        <v/>
      </c>
      <c r="G29" s="25">
        <f>IF(B29="","",MAX((E29-D29)*24-8,0))</f>
        <v/>
      </c>
      <c r="H29" s="26" t="n"/>
      <c r="I29" s="27" t="n"/>
      <c r="J29" s="28">
        <f>IF(B29="","",F29*H29+G29*H29*I29)</f>
        <v/>
      </c>
      <c r="K29" s="23" t="n"/>
    </row>
    <row r="30">
      <c r="A30" s="22" t="n"/>
      <c r="B30" s="23" t="n"/>
      <c r="C30" s="23" t="n"/>
      <c r="D30" s="24" t="n"/>
      <c r="E30" s="24" t="n"/>
      <c r="F30" s="25">
        <f>IF(B30="","",MIN((E30-D30)*24,8))</f>
        <v/>
      </c>
      <c r="G30" s="25">
        <f>IF(B30="","",MAX((E30-D30)*24-8,0))</f>
        <v/>
      </c>
      <c r="H30" s="26" t="n"/>
      <c r="I30" s="27" t="n"/>
      <c r="J30" s="28">
        <f>IF(B30="","",F30*H30+G30*H30*I30)</f>
        <v/>
      </c>
      <c r="K30" s="23" t="n"/>
    </row>
    <row r="31">
      <c r="A31" s="22" t="n"/>
      <c r="B31" s="23" t="n"/>
      <c r="C31" s="23" t="n"/>
      <c r="D31" s="24" t="n"/>
      <c r="E31" s="24" t="n"/>
      <c r="F31" s="25">
        <f>IF(B31="","",MIN((E31-D31)*24,8))</f>
        <v/>
      </c>
      <c r="G31" s="25">
        <f>IF(B31="","",MAX((E31-D31)*24-8,0))</f>
        <v/>
      </c>
      <c r="H31" s="26" t="n"/>
      <c r="I31" s="27" t="n"/>
      <c r="J31" s="28">
        <f>IF(B31="","",F31*H31+G31*H31*I31)</f>
        <v/>
      </c>
      <c r="K31" s="23" t="n"/>
    </row>
    <row r="32">
      <c r="A32" s="22" t="n"/>
      <c r="B32" s="23" t="n"/>
      <c r="C32" s="23" t="n"/>
      <c r="D32" s="24" t="n"/>
      <c r="E32" s="24" t="n"/>
      <c r="F32" s="25">
        <f>IF(B32="","",MIN((E32-D32)*24,8))</f>
        <v/>
      </c>
      <c r="G32" s="25">
        <f>IF(B32="","",MAX((E32-D32)*24-8,0))</f>
        <v/>
      </c>
      <c r="H32" s="26" t="n"/>
      <c r="I32" s="27" t="n"/>
      <c r="J32" s="28">
        <f>IF(B32="","",F32*H32+G32*H32*I32)</f>
        <v/>
      </c>
      <c r="K32" s="23" t="n"/>
    </row>
    <row r="33">
      <c r="A33" s="22" t="n"/>
      <c r="B33" s="23" t="n"/>
      <c r="C33" s="23" t="n"/>
      <c r="D33" s="24" t="n"/>
      <c r="E33" s="24" t="n"/>
      <c r="F33" s="25">
        <f>IF(B33="","",MIN((E33-D33)*24,8))</f>
        <v/>
      </c>
      <c r="G33" s="25">
        <f>IF(B33="","",MAX((E33-D33)*24-8,0))</f>
        <v/>
      </c>
      <c r="H33" s="26" t="n"/>
      <c r="I33" s="27" t="n"/>
      <c r="J33" s="28">
        <f>IF(B33="","",F33*H33+G33*H33*I33)</f>
        <v/>
      </c>
      <c r="K33" s="23" t="n"/>
    </row>
    <row r="34">
      <c r="A34" s="22" t="n"/>
      <c r="B34" s="23" t="n"/>
      <c r="C34" s="23" t="n"/>
      <c r="D34" s="24" t="n"/>
      <c r="E34" s="24" t="n"/>
      <c r="F34" s="25">
        <f>IF(B34="","",MIN((E34-D34)*24,8))</f>
        <v/>
      </c>
      <c r="G34" s="25">
        <f>IF(B34="","",MAX((E34-D34)*24-8,0))</f>
        <v/>
      </c>
      <c r="H34" s="26" t="n"/>
      <c r="I34" s="27" t="n"/>
      <c r="J34" s="28">
        <f>IF(B34="","",F34*H34+G34*H34*I34)</f>
        <v/>
      </c>
      <c r="K34" s="23" t="n"/>
    </row>
    <row r="35">
      <c r="A35" s="22" t="n"/>
      <c r="B35" s="23" t="n"/>
      <c r="C35" s="23" t="n"/>
      <c r="D35" s="24" t="n"/>
      <c r="E35" s="24" t="n"/>
      <c r="F35" s="25">
        <f>IF(B35="","",MIN((E35-D35)*24,8))</f>
        <v/>
      </c>
      <c r="G35" s="25">
        <f>IF(B35="","",MAX((E35-D35)*24-8,0))</f>
        <v/>
      </c>
      <c r="H35" s="26" t="n"/>
      <c r="I35" s="27" t="n"/>
      <c r="J35" s="28">
        <f>IF(B35="","",F35*H35+G35*H35*I35)</f>
        <v/>
      </c>
      <c r="K35" s="23" t="n"/>
    </row>
    <row r="36">
      <c r="A36" s="22" t="n"/>
      <c r="B36" s="23" t="n"/>
      <c r="C36" s="23" t="n"/>
      <c r="D36" s="24" t="n"/>
      <c r="E36" s="24" t="n"/>
      <c r="F36" s="25">
        <f>IF(B36="","",MIN((E36-D36)*24,8))</f>
        <v/>
      </c>
      <c r="G36" s="25">
        <f>IF(B36="","",MAX((E36-D36)*24-8,0))</f>
        <v/>
      </c>
      <c r="H36" s="26" t="n"/>
      <c r="I36" s="27" t="n"/>
      <c r="J36" s="28">
        <f>IF(B36="","",F36*H36+G36*H36*I36)</f>
        <v/>
      </c>
      <c r="K36" s="23" t="n"/>
    </row>
    <row r="37">
      <c r="A37" s="22" t="n"/>
      <c r="B37" s="23" t="n"/>
      <c r="C37" s="23" t="n"/>
      <c r="D37" s="24" t="n"/>
      <c r="E37" s="24" t="n"/>
      <c r="F37" s="25">
        <f>IF(B37="","",MIN((E37-D37)*24,8))</f>
        <v/>
      </c>
      <c r="G37" s="25">
        <f>IF(B37="","",MAX((E37-D37)*24-8,0))</f>
        <v/>
      </c>
      <c r="H37" s="26" t="n"/>
      <c r="I37" s="27" t="n"/>
      <c r="J37" s="28">
        <f>IF(B37="","",F37*H37+G37*H37*I37)</f>
        <v/>
      </c>
      <c r="K37" s="23" t="n"/>
    </row>
    <row r="38">
      <c r="A38" s="22" t="n"/>
      <c r="B38" s="23" t="n"/>
      <c r="C38" s="23" t="n"/>
      <c r="D38" s="24" t="n"/>
      <c r="E38" s="24" t="n"/>
      <c r="F38" s="25">
        <f>IF(B38="","",MIN((E38-D38)*24,8))</f>
        <v/>
      </c>
      <c r="G38" s="25">
        <f>IF(B38="","",MAX((E38-D38)*24-8,0))</f>
        <v/>
      </c>
      <c r="H38" s="26" t="n"/>
      <c r="I38" s="27" t="n"/>
      <c r="J38" s="28">
        <f>IF(B38="","",F38*H38+G38*H38*I38)</f>
        <v/>
      </c>
      <c r="K38" s="23" t="n"/>
    </row>
  </sheetData>
  <mergeCells count="2">
    <mergeCell ref="A2:K2"/>
    <mergeCell ref="A1:K1"/>
  </mergeCells>
  <conditionalFormatting sqref="G4:G38">
    <cfRule type="expression" priority="1" dxfId="0">
      <formula>G4&gt;2</formula>
    </cfRule>
    <cfRule type="expression" priority="2" dxfId="1">
      <formula>AND(G4&gt;0,G4&lt;=2)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2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9" t="inlineStr">
        <is>
          <t>1. עברו ללשונית 'שולחן עבודה'.</t>
        </is>
      </c>
    </row>
    <row r="6" ht="34" customHeight="1">
      <c r="A6" s="29" t="inlineStr">
        <is>
          <t>2. הוסיפו שורה לכל יום עבודה של כל עובד — תאריך, שם עובד, פרויקט, שעת התחלה ושעת סיום.</t>
        </is>
      </c>
    </row>
    <row r="8" ht="34" customHeight="1">
      <c r="A8" s="29" t="inlineStr">
        <is>
          <t>3. הזינו עלות שעה ומקדם שעות נוספות (בד"כ 1.5).</t>
        </is>
      </c>
    </row>
    <row r="10" ht="34" customHeight="1">
      <c r="A10" s="29" t="inlineStr">
        <is>
          <t>4. שעות רגילות (עד 8), שעות נוספות, ועלות יומית מחושבות אוטומטית.</t>
        </is>
      </c>
    </row>
    <row r="12" ht="34" customHeight="1">
      <c r="A12" s="29" t="inlineStr">
        <is>
          <t>5. עברו ל-לוח הבקרה לראות סה"כ שעות, עלות עבודה כוללת ושעות נוספות.</t>
        </is>
      </c>
    </row>
    <row r="14" ht="40" customHeight="1">
      <c r="A14" s="30" t="inlineStr">
        <is>
          <t>טיפ: השתמשו באותו שם פרויקט (בדיוק כפי שהוא מופיע במוצרים האחרים), כדי שהעלות תתחבר נכון לכל פרויקט.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2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31" t="inlineStr">
        <is>
          <t>מה זה?</t>
        </is>
      </c>
      <c r="C4" s="32" t="inlineStr">
        <is>
          <t>כלי למעקב שעות עבודה ועלות עובדים יומית, כולל חישוב אוטומטי של שעות נוספות.</t>
        </is>
      </c>
    </row>
    <row r="5" ht="46" customHeight="1">
      <c r="B5" s="31" t="inlineStr">
        <is>
          <t>למי זה מתאים?</t>
        </is>
      </c>
      <c r="C5" s="32" t="inlineStr">
        <is>
          <t>קבלנים ובעלי עסק עם צוות עובדים שכירים או יומיים.</t>
        </is>
      </c>
    </row>
    <row r="6" ht="46" customHeight="1">
      <c r="B6" s="31" t="inlineStr">
        <is>
          <t>איזו בעיה זה פותר?</t>
        </is>
      </c>
      <c r="C6" s="32" t="inlineStr">
        <is>
          <t>חוסר ידיעה כמה באמת עולה כוח האדם על כל פרויקט, כולל שעות נוספות.</t>
        </is>
      </c>
    </row>
    <row r="7" ht="46" customHeight="1">
      <c r="B7" s="31" t="inlineStr">
        <is>
          <t>איך מתחילים?</t>
        </is>
      </c>
      <c r="C7" s="32" t="inlineStr">
        <is>
          <t>הזינו שעת התחלה וסיום לכל עובד בכל יום עבודה — השעות והעלות מחושבות אוטומטית.</t>
        </is>
      </c>
    </row>
    <row r="8" ht="46" customHeight="1">
      <c r="B8" s="31" t="inlineStr">
        <is>
          <t>מה צריך להזין?</t>
        </is>
      </c>
      <c r="C8" s="32" t="inlineStr">
        <is>
          <t>תאריך, עובד, פרויקט, שעת התחלה, שעת סיום, עלות שעה, מקדם שעות נוספות.</t>
        </is>
      </c>
    </row>
    <row r="9" ht="46" customHeight="1">
      <c r="B9" s="31" t="inlineStr">
        <is>
          <t>מה מחושב אוטומטית?</t>
        </is>
      </c>
      <c r="C9" s="32" t="inlineStr">
        <is>
          <t>שעות רגילות (עד 8 שעות ביום), שעות נוספות (מעבר ל-8), ועלות יומית.</t>
        </is>
      </c>
    </row>
    <row r="10" ht="46" customHeight="1">
      <c r="B10" s="31" t="inlineStr">
        <is>
          <t>מה לוח הבקרה מציג?</t>
        </is>
      </c>
      <c r="C10" s="32" t="inlineStr">
        <is>
          <t>סה"כ שעות, עלות עבודה כוללת, שעות נוספות כוללות, עלות שעה ממוצעת, ומספר עובדים פעילים.</t>
        </is>
      </c>
    </row>
    <row r="11" ht="46" customHeight="1">
      <c r="B11" s="31" t="inlineStr">
        <is>
          <t>טיפים</t>
        </is>
      </c>
      <c r="C11" s="32" t="inlineStr">
        <is>
          <t>עדכנו יומית כדי שהמעקב יהיה מדויק — קל יותר מלנסות לשחזר שעות בסוף החודש.</t>
        </is>
      </c>
    </row>
    <row r="13">
      <c r="B13" s="33" t="inlineStr">
        <is>
          <t>שאלות נפוצות</t>
        </is>
      </c>
    </row>
    <row r="14" ht="40" customHeight="1">
      <c r="B14" s="34" t="inlineStr">
        <is>
          <t>איך שעות נוספות מחושבות?</t>
        </is>
      </c>
      <c r="C14" s="32" t="inlineStr">
        <is>
          <t>כל שעה מעבר ל-8 שעות עבודה ביום נחשבת אוטומטית לשעה נוספת, ומוכפלת במקדם שהוגדר.</t>
        </is>
      </c>
    </row>
    <row r="15" ht="40" customHeight="1">
      <c r="B15" s="34" t="inlineStr">
        <is>
          <t>אפשר לראות עלות לפי פרויקט?</t>
        </is>
      </c>
      <c r="C15" s="32" t="inlineStr">
        <is>
          <t>כן — סננו את הטבלה לפי שם פרויקט, או השתמשו ב-SUMIF על עמודת 'עלות יומית'.</t>
        </is>
      </c>
    </row>
    <row r="16" ht="40" customHeight="1">
      <c r="B16" s="34" t="inlineStr">
        <is>
          <t>מה אם עובד עבד בשני פרויקטים באותו יום?</t>
        </is>
      </c>
      <c r="C16" s="32" t="inlineStr">
        <is>
          <t>הוסיפו שתי שורות נפרדות לאותו יום/עובד, אחת לכל פרויקט.</t>
        </is>
      </c>
    </row>
  </sheetData>
  <mergeCells count="3">
    <mergeCell ref="A1:C1"/>
    <mergeCell ref="B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2026-09-13T19:32:28Z</dcterms:created>
  <dcterms:modified xsi:type="dcterms:W3CDTF">2026-09-13T19:32:28Z</dcterms:modified>
</cp:coreProperties>
</file>