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לוח בקרה" sheetId="1" state="visible" r:id="rId1"/>
    <sheet name="שולחן עבודה" sheetId="2" state="visible" r:id="rId2"/>
    <sheet name="התחלה מהירה" sheetId="3" state="visible" r:id="rId3"/>
    <sheet name="מדריך שימו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color rgb="001F4E78"/>
      <sz val="11"/>
    </font>
    <font>
      <name val="Calibri"/>
      <color rgb="00000000"/>
      <sz val="11"/>
    </font>
    <font>
      <name val="Calibri"/>
      <b val="1"/>
      <color rgb="00FFFFFF"/>
      <sz val="22"/>
    </font>
    <font>
      <name val="Calibri"/>
      <b val="1"/>
      <color rgb="0017365D"/>
      <sz val="10"/>
    </font>
    <font>
      <name val="Calibri"/>
      <b val="1"/>
      <color rgb="001F4E78"/>
      <sz val="18"/>
    </font>
    <font>
      <name val="Calibri"/>
      <b val="1"/>
      <color rgb="00FFFFFF"/>
      <sz val="13"/>
    </font>
    <font>
      <name val="Calibri"/>
      <color rgb="0017365D"/>
      <sz val="11"/>
    </font>
    <font>
      <name val="Calibri"/>
      <color rgb="00000000"/>
      <sz val="12"/>
    </font>
    <font>
      <name val="Calibri"/>
      <b val="1"/>
      <color rgb="001F4E78"/>
      <sz val="11"/>
    </font>
    <font>
      <name val="Calibri"/>
      <b val="1"/>
      <color rgb="0017365D"/>
      <sz val="12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B7C6D6"/>
      </left>
      <right style="thin">
        <color rgb="00B7C6D6"/>
      </right>
      <top style="thin">
        <color rgb="00B7C6D6"/>
      </top>
      <bottom style="thin">
        <color rgb="00B7C6D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5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166" fontId="8" fillId="6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right" vertical="center" wrapText="1"/>
    </xf>
    <xf numFmtId="0" fontId="10" fillId="4" borderId="0" applyAlignment="1" pivotButton="0" quotePrefix="0" xfId="0">
      <alignment horizontal="right" vertical="center" wrapText="1"/>
    </xf>
    <xf numFmtId="0" fontId="10" fillId="5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3" fontId="0" fillId="4" borderId="1" pivotButton="0" quotePrefix="0" xfId="0"/>
    <xf numFmtId="0" fontId="0" fillId="0" borderId="1" pivotButton="0" quotePrefix="0" xfId="0"/>
    <xf numFmtId="165" fontId="0" fillId="4" borderId="1" pivotButton="0" quotePrefix="0" xfId="0"/>
    <xf numFmtId="0" fontId="11" fillId="7" borderId="0" applyAlignment="1" pivotButton="0" quotePrefix="0" xfId="0">
      <alignment horizontal="right" vertical="center" wrapText="1"/>
    </xf>
    <xf numFmtId="0" fontId="12" fillId="5" borderId="0" applyAlignment="1" pivotButton="0" quotePrefix="0" xfId="0">
      <alignment horizontal="right" vertical="center" wrapText="1"/>
    </xf>
    <xf numFmtId="0" fontId="13" fillId="5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2:F11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 ht="46" customHeight="1">
      <c r="B2" s="1" t="inlineStr">
        <is>
          <t>לוח בקרה — ניהול לקוחות ולידים</t>
        </is>
      </c>
      <c r="C2" s="2" t="n"/>
      <c r="D2" s="2" t="n"/>
      <c r="E2" s="2" t="n"/>
      <c r="F2" s="2" t="n"/>
    </row>
    <row r="3" ht="22" customHeight="1">
      <c r="B3" s="3" t="inlineStr">
        <is>
          <t>ContractorOS — אף ליד לא ייעלם יותר</t>
        </is>
      </c>
      <c r="C3" s="4" t="n"/>
      <c r="D3" s="4" t="n"/>
      <c r="E3" s="4" t="n"/>
      <c r="F3" s="4" t="n"/>
    </row>
    <row r="5" ht="30" customHeight="1">
      <c r="B5" s="5" t="inlineStr">
        <is>
          <t>סה"כ לידים</t>
        </is>
      </c>
      <c r="C5" s="5" t="inlineStr">
        <is>
          <t>אחוז המרה</t>
        </is>
      </c>
      <c r="D5" s="5" t="inlineStr">
        <is>
          <t>פוטנציאל כולל (₪)</t>
        </is>
      </c>
      <c r="E5" s="5" t="inlineStr">
        <is>
          <t>הכנסה שנסגרה (₪)</t>
        </is>
      </c>
      <c r="F5" s="5" t="inlineStr">
        <is>
          <t>לידים חמים פתוחים</t>
        </is>
      </c>
    </row>
    <row r="6" ht="34" customHeight="1">
      <c r="B6" s="6">
        <f>COUNTA('שולחן עבודה'!A4:A38)</f>
        <v/>
      </c>
      <c r="C6" s="7">
        <f>IFERROR(COUNTIF('שולחן עבודה'!H4:H38,"נסגר בהצלחה")/COUNTA('שולחן עבודה'!A4:A38),0)</f>
        <v/>
      </c>
      <c r="D6" s="6">
        <f>SUM('שולחן עבודה'!G4:G38)</f>
        <v/>
      </c>
      <c r="E6" s="6">
        <f>SUMIF('שולחן עבודה'!H4:H38,"נסגר בהצלחה",'שולחן עבודה'!G4:G38)</f>
        <v/>
      </c>
      <c r="F6" s="6">
        <f>COUNTIFS('שולחן עבודה'!I4:I38,"חם",'שולחן עבודה'!H4:H38,"&lt;&gt;נסגר בהצלחה",'שולחן עבודה'!H4:H38,"&lt;&gt;אבדנו")</f>
        <v/>
      </c>
    </row>
    <row r="9" ht="26" customHeight="1">
      <c r="B9" s="8" t="inlineStr">
        <is>
          <t>⚠ תובנות עסקיות והתראות</t>
        </is>
      </c>
    </row>
    <row r="10" ht="22" customHeight="1">
      <c r="B10" s="9">
        <f>IF(COUNTIFS('שולחן עבודה'!J4:J38,"&lt;="&amp;TODAY(),'שולחן עבודה'!J4:J38,"&gt;0")&gt;0,"יש "&amp;COUNTIFS('שולחן עבודה'!J4:J38,"&lt;="&amp;TODAY(),'שולחן עבודה'!J4:J38,"&gt;0")&amp;" לידים שדורשים פולואפ היום או שכבר עבר.","אין פולואפים דחופים כרגע.")</f>
        <v/>
      </c>
    </row>
    <row r="11" ht="22" customHeight="1">
      <c r="B11" s="10">
        <f>IF(COUNTIFS('שולחן עבודה'!I4:I38,"חם",'שולחן עבודה'!H4:H38,"&lt;&gt;נסגר בהצלחה")&gt;0,"יש לידים חמים שעדיין לא נסגרו — תעדפו אותם.","אין לידים חמים פתוחים כרגע.")</f>
        <v/>
      </c>
    </row>
  </sheetData>
  <mergeCells count="5">
    <mergeCell ref="B2:F2"/>
    <mergeCell ref="B10:F10"/>
    <mergeCell ref="B11:F11"/>
    <mergeCell ref="B3:F3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/>
  </sheetPr>
  <dimension ref="A1:K3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0" customWidth="1" min="3" max="3"/>
    <col width="12" customWidth="1" min="4" max="4"/>
    <col width="14" customWidth="1" min="5" max="5"/>
    <col width="12" customWidth="1" min="6" max="6"/>
    <col width="14" customWidth="1" min="7" max="7"/>
    <col width="16" customWidth="1" min="8" max="8"/>
    <col width="9" customWidth="1" min="9" max="9"/>
    <col width="13" customWidth="1" min="10" max="10"/>
    <col width="16" customWidth="1" min="11" max="11"/>
  </cols>
  <sheetData>
    <row r="1" ht="44" customHeight="1">
      <c r="A1" s="11" t="inlineStr">
        <is>
          <t>ניהול לקוחות ולידים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4" customHeight="1">
      <c r="A2" s="3" t="inlineStr">
        <is>
          <t>הזינו נתונים בתאים הצהובים בלבד — לוח הבקרה מתעדכן אוטומטית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34" customHeight="1">
      <c r="A3" s="12" t="inlineStr">
        <is>
          <t>שם ליד</t>
        </is>
      </c>
      <c r="B3" s="12" t="inlineStr">
        <is>
          <t>טלפון</t>
        </is>
      </c>
      <c r="C3" s="12" t="inlineStr">
        <is>
          <t>דוא"ל</t>
        </is>
      </c>
      <c r="D3" s="12" t="inlineStr">
        <is>
          <t>מקור ליד</t>
        </is>
      </c>
      <c r="E3" s="12" t="inlineStr">
        <is>
          <t>סוג עבודה</t>
        </is>
      </c>
      <c r="F3" s="12" t="inlineStr">
        <is>
          <t>אזור</t>
        </is>
      </c>
      <c r="G3" s="12" t="inlineStr">
        <is>
          <t>סכום פוטנציאלי</t>
        </is>
      </c>
      <c r="H3" s="12" t="inlineStr">
        <is>
          <t>סטטוס</t>
        </is>
      </c>
      <c r="I3" s="12" t="inlineStr">
        <is>
          <t>חום ליד</t>
        </is>
      </c>
      <c r="J3" s="12" t="inlineStr">
        <is>
          <t>פולואפ הבא</t>
        </is>
      </c>
      <c r="K3" s="12" t="inlineStr">
        <is>
          <t>תוצאה / הערות</t>
        </is>
      </c>
    </row>
    <row r="4">
      <c r="A4" s="13" t="inlineStr">
        <is>
          <t>יוסי מזרחי</t>
        </is>
      </c>
      <c r="B4" s="14" t="inlineStr">
        <is>
          <t>050-1234567</t>
        </is>
      </c>
      <c r="C4" s="13" t="inlineStr">
        <is>
          <t>yossi@mail.com</t>
        </is>
      </c>
      <c r="D4" s="14" t="inlineStr">
        <is>
          <t>המלצה</t>
        </is>
      </c>
      <c r="E4" s="14" t="inlineStr">
        <is>
          <t>שיפוץ מטבח</t>
        </is>
      </c>
      <c r="F4" s="14" t="inlineStr">
        <is>
          <t>תל אביב</t>
        </is>
      </c>
      <c r="G4" s="15" t="n">
        <v>25000</v>
      </c>
      <c r="H4" s="16" t="inlineStr">
        <is>
          <t>הצעת מחיר נשלחה</t>
        </is>
      </c>
      <c r="I4" s="16" t="inlineStr">
        <is>
          <t>חם</t>
        </is>
      </c>
      <c r="J4" s="17" t="n">
        <v>46042</v>
      </c>
      <c r="K4" s="13" t="inlineStr"/>
    </row>
    <row r="5">
      <c r="A5" s="13" t="inlineStr">
        <is>
          <t>רחל שמעוני</t>
        </is>
      </c>
      <c r="B5" s="14" t="inlineStr">
        <is>
          <t>052-9876543</t>
        </is>
      </c>
      <c r="C5" s="13" t="inlineStr">
        <is>
          <t>rachel@mail.com</t>
        </is>
      </c>
      <c r="D5" s="14" t="inlineStr">
        <is>
          <t>פייסבוק</t>
        </is>
      </c>
      <c r="E5" s="14" t="inlineStr">
        <is>
          <t>החלפת לוח חשמל</t>
        </is>
      </c>
      <c r="F5" s="14" t="inlineStr">
        <is>
          <t>רמת גן</t>
        </is>
      </c>
      <c r="G5" s="15" t="n">
        <v>4200</v>
      </c>
      <c r="H5" s="16" t="inlineStr">
        <is>
          <t>נסגר בהצלחה</t>
        </is>
      </c>
      <c r="I5" s="16" t="inlineStr">
        <is>
          <t>חם</t>
        </is>
      </c>
      <c r="J5" s="17" t="n"/>
      <c r="K5" s="13" t="inlineStr">
        <is>
          <t>נסגר - עבודה מתחילה 15.2</t>
        </is>
      </c>
    </row>
    <row r="6">
      <c r="A6" s="13" t="inlineStr">
        <is>
          <t>אבי כהן</t>
        </is>
      </c>
      <c r="B6" s="14" t="inlineStr">
        <is>
          <t>054-1112223</t>
        </is>
      </c>
      <c r="C6" s="13" t="inlineStr">
        <is>
          <t>avi@mail.com</t>
        </is>
      </c>
      <c r="D6" s="14" t="inlineStr">
        <is>
          <t>גוגל</t>
        </is>
      </c>
      <c r="E6" s="14" t="inlineStr">
        <is>
          <t>התקנת מיזוג</t>
        </is>
      </c>
      <c r="F6" s="14" t="inlineStr">
        <is>
          <t>חולון</t>
        </is>
      </c>
      <c r="G6" s="15" t="n">
        <v>8500</v>
      </c>
      <c r="H6" s="16" t="inlineStr">
        <is>
          <t>נקבעה פגישה</t>
        </is>
      </c>
      <c r="I6" s="16" t="inlineStr">
        <is>
          <t>פושר</t>
        </is>
      </c>
      <c r="J6" s="17" t="n">
        <v>46040</v>
      </c>
      <c r="K6" s="13" t="inlineStr"/>
    </row>
    <row r="7">
      <c r="A7" s="13" t="inlineStr">
        <is>
          <t>נועה בר</t>
        </is>
      </c>
      <c r="B7" s="14" t="inlineStr">
        <is>
          <t>050-5556667</t>
        </is>
      </c>
      <c r="C7" s="13" t="inlineStr">
        <is>
          <t>noa@mail.com</t>
        </is>
      </c>
      <c r="D7" s="14" t="inlineStr">
        <is>
          <t>וואטסאפ</t>
        </is>
      </c>
      <c r="E7" s="14" t="inlineStr">
        <is>
          <t>איטום גג</t>
        </is>
      </c>
      <c r="F7" s="14" t="inlineStr">
        <is>
          <t>בת ים</t>
        </is>
      </c>
      <c r="G7" s="15" t="n">
        <v>6800</v>
      </c>
      <c r="H7" s="16" t="inlineStr">
        <is>
          <t>ליד חדש</t>
        </is>
      </c>
      <c r="I7" s="16" t="inlineStr">
        <is>
          <t>פושר</t>
        </is>
      </c>
      <c r="J7" s="17" t="n">
        <v>46044</v>
      </c>
      <c r="K7" s="13" t="inlineStr"/>
    </row>
    <row r="8">
      <c r="A8" s="13" t="inlineStr">
        <is>
          <t>שרה גולן</t>
        </is>
      </c>
      <c r="B8" s="14" t="inlineStr">
        <is>
          <t>053-4445556</t>
        </is>
      </c>
      <c r="C8" s="13" t="inlineStr">
        <is>
          <t>sara@mail.com</t>
        </is>
      </c>
      <c r="D8" s="14" t="inlineStr">
        <is>
          <t>שלט/פליירים</t>
        </is>
      </c>
      <c r="E8" s="14" t="inlineStr">
        <is>
          <t>ריצוף אמבטיה</t>
        </is>
      </c>
      <c r="F8" s="14" t="inlineStr">
        <is>
          <t>גבעתיים</t>
        </is>
      </c>
      <c r="G8" s="15" t="n">
        <v>7500</v>
      </c>
      <c r="H8" s="16" t="inlineStr">
        <is>
          <t>אבדנו</t>
        </is>
      </c>
      <c r="I8" s="16" t="inlineStr">
        <is>
          <t>קר</t>
        </is>
      </c>
      <c r="J8" s="17" t="n"/>
      <c r="K8" s="13" t="inlineStr">
        <is>
          <t>בחרה קבלן אחר - מחיר</t>
        </is>
      </c>
    </row>
    <row r="9">
      <c r="A9" s="18" t="n"/>
      <c r="B9" s="18" t="n"/>
      <c r="C9" s="18" t="n"/>
      <c r="D9" s="18" t="n"/>
      <c r="E9" s="18" t="n"/>
      <c r="F9" s="18" t="n"/>
      <c r="G9" s="19" t="n"/>
      <c r="H9" s="20" t="n"/>
      <c r="I9" s="20" t="n"/>
      <c r="J9" s="21" t="n"/>
      <c r="K9" s="18" t="n"/>
    </row>
    <row r="10">
      <c r="A10" s="18" t="n"/>
      <c r="B10" s="18" t="n"/>
      <c r="C10" s="18" t="n"/>
      <c r="D10" s="18" t="n"/>
      <c r="E10" s="18" t="n"/>
      <c r="F10" s="18" t="n"/>
      <c r="G10" s="19" t="n"/>
      <c r="H10" s="20" t="n"/>
      <c r="I10" s="20" t="n"/>
      <c r="J10" s="21" t="n"/>
      <c r="K10" s="18" t="n"/>
    </row>
    <row r="11">
      <c r="A11" s="18" t="n"/>
      <c r="B11" s="18" t="n"/>
      <c r="C11" s="18" t="n"/>
      <c r="D11" s="18" t="n"/>
      <c r="E11" s="18" t="n"/>
      <c r="F11" s="18" t="n"/>
      <c r="G11" s="19" t="n"/>
      <c r="H11" s="20" t="n"/>
      <c r="I11" s="20" t="n"/>
      <c r="J11" s="21" t="n"/>
      <c r="K11" s="18" t="n"/>
    </row>
    <row r="12">
      <c r="A12" s="18" t="n"/>
      <c r="B12" s="18" t="n"/>
      <c r="C12" s="18" t="n"/>
      <c r="D12" s="18" t="n"/>
      <c r="E12" s="18" t="n"/>
      <c r="F12" s="18" t="n"/>
      <c r="G12" s="19" t="n"/>
      <c r="H12" s="20" t="n"/>
      <c r="I12" s="20" t="n"/>
      <c r="J12" s="21" t="n"/>
      <c r="K12" s="18" t="n"/>
    </row>
    <row r="13">
      <c r="A13" s="18" t="n"/>
      <c r="B13" s="18" t="n"/>
      <c r="C13" s="18" t="n"/>
      <c r="D13" s="18" t="n"/>
      <c r="E13" s="18" t="n"/>
      <c r="F13" s="18" t="n"/>
      <c r="G13" s="19" t="n"/>
      <c r="H13" s="20" t="n"/>
      <c r="I13" s="20" t="n"/>
      <c r="J13" s="21" t="n"/>
      <c r="K13" s="18" t="n"/>
    </row>
    <row r="14">
      <c r="A14" s="18" t="n"/>
      <c r="B14" s="18" t="n"/>
      <c r="C14" s="18" t="n"/>
      <c r="D14" s="18" t="n"/>
      <c r="E14" s="18" t="n"/>
      <c r="F14" s="18" t="n"/>
      <c r="G14" s="19" t="n"/>
      <c r="H14" s="20" t="n"/>
      <c r="I14" s="20" t="n"/>
      <c r="J14" s="21" t="n"/>
      <c r="K14" s="18" t="n"/>
    </row>
    <row r="15">
      <c r="A15" s="18" t="n"/>
      <c r="B15" s="18" t="n"/>
      <c r="C15" s="18" t="n"/>
      <c r="D15" s="18" t="n"/>
      <c r="E15" s="18" t="n"/>
      <c r="F15" s="18" t="n"/>
      <c r="G15" s="19" t="n"/>
      <c r="H15" s="20" t="n"/>
      <c r="I15" s="20" t="n"/>
      <c r="J15" s="21" t="n"/>
      <c r="K15" s="18" t="n"/>
    </row>
    <row r="16">
      <c r="A16" s="18" t="n"/>
      <c r="B16" s="18" t="n"/>
      <c r="C16" s="18" t="n"/>
      <c r="D16" s="18" t="n"/>
      <c r="E16" s="18" t="n"/>
      <c r="F16" s="18" t="n"/>
      <c r="G16" s="19" t="n"/>
      <c r="H16" s="20" t="n"/>
      <c r="I16" s="20" t="n"/>
      <c r="J16" s="21" t="n"/>
      <c r="K16" s="18" t="n"/>
    </row>
    <row r="17">
      <c r="A17" s="18" t="n"/>
      <c r="B17" s="18" t="n"/>
      <c r="C17" s="18" t="n"/>
      <c r="D17" s="18" t="n"/>
      <c r="E17" s="18" t="n"/>
      <c r="F17" s="18" t="n"/>
      <c r="G17" s="19" t="n"/>
      <c r="H17" s="20" t="n"/>
      <c r="I17" s="20" t="n"/>
      <c r="J17" s="21" t="n"/>
      <c r="K17" s="18" t="n"/>
    </row>
    <row r="18">
      <c r="A18" s="18" t="n"/>
      <c r="B18" s="18" t="n"/>
      <c r="C18" s="18" t="n"/>
      <c r="D18" s="18" t="n"/>
      <c r="E18" s="18" t="n"/>
      <c r="F18" s="18" t="n"/>
      <c r="G18" s="19" t="n"/>
      <c r="H18" s="20" t="n"/>
      <c r="I18" s="20" t="n"/>
      <c r="J18" s="21" t="n"/>
      <c r="K18" s="18" t="n"/>
    </row>
    <row r="19">
      <c r="A19" s="18" t="n"/>
      <c r="B19" s="18" t="n"/>
      <c r="C19" s="18" t="n"/>
      <c r="D19" s="18" t="n"/>
      <c r="E19" s="18" t="n"/>
      <c r="F19" s="18" t="n"/>
      <c r="G19" s="19" t="n"/>
      <c r="H19" s="20" t="n"/>
      <c r="I19" s="20" t="n"/>
      <c r="J19" s="21" t="n"/>
      <c r="K19" s="18" t="n"/>
    </row>
    <row r="20">
      <c r="A20" s="18" t="n"/>
      <c r="B20" s="18" t="n"/>
      <c r="C20" s="18" t="n"/>
      <c r="D20" s="18" t="n"/>
      <c r="E20" s="18" t="n"/>
      <c r="F20" s="18" t="n"/>
      <c r="G20" s="19" t="n"/>
      <c r="H20" s="20" t="n"/>
      <c r="I20" s="20" t="n"/>
      <c r="J20" s="21" t="n"/>
      <c r="K20" s="18" t="n"/>
    </row>
    <row r="21">
      <c r="A21" s="18" t="n"/>
      <c r="B21" s="18" t="n"/>
      <c r="C21" s="18" t="n"/>
      <c r="D21" s="18" t="n"/>
      <c r="E21" s="18" t="n"/>
      <c r="F21" s="18" t="n"/>
      <c r="G21" s="19" t="n"/>
      <c r="H21" s="20" t="n"/>
      <c r="I21" s="20" t="n"/>
      <c r="J21" s="21" t="n"/>
      <c r="K21" s="18" t="n"/>
    </row>
    <row r="22">
      <c r="A22" s="18" t="n"/>
      <c r="B22" s="18" t="n"/>
      <c r="C22" s="18" t="n"/>
      <c r="D22" s="18" t="n"/>
      <c r="E22" s="18" t="n"/>
      <c r="F22" s="18" t="n"/>
      <c r="G22" s="19" t="n"/>
      <c r="H22" s="20" t="n"/>
      <c r="I22" s="20" t="n"/>
      <c r="J22" s="21" t="n"/>
      <c r="K22" s="18" t="n"/>
    </row>
    <row r="23">
      <c r="A23" s="18" t="n"/>
      <c r="B23" s="18" t="n"/>
      <c r="C23" s="18" t="n"/>
      <c r="D23" s="18" t="n"/>
      <c r="E23" s="18" t="n"/>
      <c r="F23" s="18" t="n"/>
      <c r="G23" s="19" t="n"/>
      <c r="H23" s="20" t="n"/>
      <c r="I23" s="20" t="n"/>
      <c r="J23" s="21" t="n"/>
      <c r="K23" s="18" t="n"/>
    </row>
    <row r="24">
      <c r="A24" s="18" t="n"/>
      <c r="B24" s="18" t="n"/>
      <c r="C24" s="18" t="n"/>
      <c r="D24" s="18" t="n"/>
      <c r="E24" s="18" t="n"/>
      <c r="F24" s="18" t="n"/>
      <c r="G24" s="19" t="n"/>
      <c r="H24" s="20" t="n"/>
      <c r="I24" s="20" t="n"/>
      <c r="J24" s="21" t="n"/>
      <c r="K24" s="18" t="n"/>
    </row>
    <row r="25">
      <c r="A25" s="18" t="n"/>
      <c r="B25" s="18" t="n"/>
      <c r="C25" s="18" t="n"/>
      <c r="D25" s="18" t="n"/>
      <c r="E25" s="18" t="n"/>
      <c r="F25" s="18" t="n"/>
      <c r="G25" s="19" t="n"/>
      <c r="H25" s="20" t="n"/>
      <c r="I25" s="20" t="n"/>
      <c r="J25" s="21" t="n"/>
      <c r="K25" s="18" t="n"/>
    </row>
    <row r="26">
      <c r="A26" s="18" t="n"/>
      <c r="B26" s="18" t="n"/>
      <c r="C26" s="18" t="n"/>
      <c r="D26" s="18" t="n"/>
      <c r="E26" s="18" t="n"/>
      <c r="F26" s="18" t="n"/>
      <c r="G26" s="19" t="n"/>
      <c r="H26" s="20" t="n"/>
      <c r="I26" s="20" t="n"/>
      <c r="J26" s="21" t="n"/>
      <c r="K26" s="18" t="n"/>
    </row>
    <row r="27">
      <c r="A27" s="18" t="n"/>
      <c r="B27" s="18" t="n"/>
      <c r="C27" s="18" t="n"/>
      <c r="D27" s="18" t="n"/>
      <c r="E27" s="18" t="n"/>
      <c r="F27" s="18" t="n"/>
      <c r="G27" s="19" t="n"/>
      <c r="H27" s="20" t="n"/>
      <c r="I27" s="20" t="n"/>
      <c r="J27" s="21" t="n"/>
      <c r="K27" s="18" t="n"/>
    </row>
    <row r="28">
      <c r="A28" s="18" t="n"/>
      <c r="B28" s="18" t="n"/>
      <c r="C28" s="18" t="n"/>
      <c r="D28" s="18" t="n"/>
      <c r="E28" s="18" t="n"/>
      <c r="F28" s="18" t="n"/>
      <c r="G28" s="19" t="n"/>
      <c r="H28" s="20" t="n"/>
      <c r="I28" s="20" t="n"/>
      <c r="J28" s="21" t="n"/>
      <c r="K28" s="18" t="n"/>
    </row>
    <row r="29">
      <c r="A29" s="18" t="n"/>
      <c r="B29" s="18" t="n"/>
      <c r="C29" s="18" t="n"/>
      <c r="D29" s="18" t="n"/>
      <c r="E29" s="18" t="n"/>
      <c r="F29" s="18" t="n"/>
      <c r="G29" s="19" t="n"/>
      <c r="H29" s="20" t="n"/>
      <c r="I29" s="20" t="n"/>
      <c r="J29" s="21" t="n"/>
      <c r="K29" s="18" t="n"/>
    </row>
    <row r="30">
      <c r="A30" s="18" t="n"/>
      <c r="B30" s="18" t="n"/>
      <c r="C30" s="18" t="n"/>
      <c r="D30" s="18" t="n"/>
      <c r="E30" s="18" t="n"/>
      <c r="F30" s="18" t="n"/>
      <c r="G30" s="19" t="n"/>
      <c r="H30" s="20" t="n"/>
      <c r="I30" s="20" t="n"/>
      <c r="J30" s="21" t="n"/>
      <c r="K30" s="18" t="n"/>
    </row>
    <row r="31">
      <c r="A31" s="18" t="n"/>
      <c r="B31" s="18" t="n"/>
      <c r="C31" s="18" t="n"/>
      <c r="D31" s="18" t="n"/>
      <c r="E31" s="18" t="n"/>
      <c r="F31" s="18" t="n"/>
      <c r="G31" s="19" t="n"/>
      <c r="H31" s="20" t="n"/>
      <c r="I31" s="20" t="n"/>
      <c r="J31" s="21" t="n"/>
      <c r="K31" s="18" t="n"/>
    </row>
    <row r="32">
      <c r="A32" s="18" t="n"/>
      <c r="B32" s="18" t="n"/>
      <c r="C32" s="18" t="n"/>
      <c r="D32" s="18" t="n"/>
      <c r="E32" s="18" t="n"/>
      <c r="F32" s="18" t="n"/>
      <c r="G32" s="19" t="n"/>
      <c r="H32" s="20" t="n"/>
      <c r="I32" s="20" t="n"/>
      <c r="J32" s="21" t="n"/>
      <c r="K32" s="18" t="n"/>
    </row>
    <row r="33">
      <c r="A33" s="18" t="n"/>
      <c r="B33" s="18" t="n"/>
      <c r="C33" s="18" t="n"/>
      <c r="D33" s="18" t="n"/>
      <c r="E33" s="18" t="n"/>
      <c r="F33" s="18" t="n"/>
      <c r="G33" s="19" t="n"/>
      <c r="H33" s="20" t="n"/>
      <c r="I33" s="20" t="n"/>
      <c r="J33" s="21" t="n"/>
      <c r="K33" s="18" t="n"/>
    </row>
    <row r="34">
      <c r="A34" s="18" t="n"/>
      <c r="B34" s="18" t="n"/>
      <c r="C34" s="18" t="n"/>
      <c r="D34" s="18" t="n"/>
      <c r="E34" s="18" t="n"/>
      <c r="F34" s="18" t="n"/>
      <c r="G34" s="19" t="n"/>
      <c r="H34" s="20" t="n"/>
      <c r="I34" s="20" t="n"/>
      <c r="J34" s="21" t="n"/>
      <c r="K34" s="18" t="n"/>
    </row>
    <row r="35">
      <c r="A35" s="18" t="n"/>
      <c r="B35" s="18" t="n"/>
      <c r="C35" s="18" t="n"/>
      <c r="D35" s="18" t="n"/>
      <c r="E35" s="18" t="n"/>
      <c r="F35" s="18" t="n"/>
      <c r="G35" s="19" t="n"/>
      <c r="H35" s="20" t="n"/>
      <c r="I35" s="20" t="n"/>
      <c r="J35" s="21" t="n"/>
      <c r="K35" s="18" t="n"/>
    </row>
    <row r="36">
      <c r="A36" s="18" t="n"/>
      <c r="B36" s="18" t="n"/>
      <c r="C36" s="18" t="n"/>
      <c r="D36" s="18" t="n"/>
      <c r="E36" s="18" t="n"/>
      <c r="F36" s="18" t="n"/>
      <c r="G36" s="19" t="n"/>
      <c r="H36" s="20" t="n"/>
      <c r="I36" s="20" t="n"/>
      <c r="J36" s="21" t="n"/>
      <c r="K36" s="18" t="n"/>
    </row>
    <row r="37">
      <c r="A37" s="18" t="n"/>
      <c r="B37" s="18" t="n"/>
      <c r="C37" s="18" t="n"/>
      <c r="D37" s="18" t="n"/>
      <c r="E37" s="18" t="n"/>
      <c r="F37" s="18" t="n"/>
      <c r="G37" s="19" t="n"/>
      <c r="H37" s="20" t="n"/>
      <c r="I37" s="20" t="n"/>
      <c r="J37" s="21" t="n"/>
      <c r="K37" s="18" t="n"/>
    </row>
    <row r="38">
      <c r="A38" s="18" t="n"/>
      <c r="B38" s="18" t="n"/>
      <c r="C38" s="18" t="n"/>
      <c r="D38" s="18" t="n"/>
      <c r="E38" s="18" t="n"/>
      <c r="F38" s="18" t="n"/>
      <c r="G38" s="19" t="n"/>
      <c r="H38" s="20" t="n"/>
      <c r="I38" s="20" t="n"/>
      <c r="J38" s="21" t="n"/>
      <c r="K38" s="18" t="n"/>
    </row>
  </sheetData>
  <mergeCells count="2">
    <mergeCell ref="A2:K2"/>
    <mergeCell ref="A1:K1"/>
  </mergeCells>
  <conditionalFormatting sqref="H4:H38">
    <cfRule type="expression" priority="1" dxfId="0">
      <formula>$H4="נסגר בהצלחה"</formula>
    </cfRule>
    <cfRule type="expression" priority="2" dxfId="1">
      <formula>$H4="אבדנו"</formula>
    </cfRule>
    <cfRule type="expression" priority="3" dxfId="2">
      <formula>OR($H4="הצעת מחיר נשלחה",$H4="משא ומתן")</formula>
    </cfRule>
  </conditionalFormatting>
  <conditionalFormatting sqref="I4:I38">
    <cfRule type="expression" priority="4" dxfId="1">
      <formula>$I4="חם"</formula>
    </cfRule>
    <cfRule type="expression" priority="5" dxfId="2">
      <formula>$I4="פושר"</formula>
    </cfRule>
    <cfRule type="expression" priority="6" dxfId="3">
      <formula>$I4="קר"</formula>
    </cfRule>
  </conditionalFormatting>
  <dataValidations count="3">
    <dataValidation sqref="D4:D38" showDropDown="0" showInputMessage="0" showErrorMessage="0" allowBlank="1" type="list">
      <formula1>"המלצה,פייסבוק,אינסטגרם,גוגל,וואטסאפ,שלט/פליירים,לקוח חוזר,אחר"</formula1>
    </dataValidation>
    <dataValidation sqref="H4:H38" showDropDown="0" showInputMessage="0" showErrorMessage="0" allowBlank="1" type="list">
      <formula1>"ליד חדש,יצרנו קשר,נקבעה פגישה,הצעת מחיר נשלחה,משא ומתן,נסגר בהצלחה,אבדנו"</formula1>
    </dataValidation>
    <dataValidation sqref="I4:I38" showDropDown="0" showInputMessage="0" showErrorMessage="0" allowBlank="1" type="list">
      <formula1>"חם,פושר,קר"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2F0D9"/>
    <outlinePr summaryBelow="1" summaryRight="1"/>
    <pageSetUpPr/>
  </sheetPr>
  <dimension ref="A1:B14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44" customHeight="1">
      <c r="A1" s="11" t="inlineStr">
        <is>
          <t>התחלה מהירה</t>
        </is>
      </c>
      <c r="B1" s="2" t="n"/>
    </row>
    <row r="2" ht="24" customHeight="1">
      <c r="A2" s="3" t="inlineStr">
        <is>
          <t>5 צעדים ואתם בפנים</t>
        </is>
      </c>
      <c r="B2" s="4" t="n"/>
    </row>
    <row r="4" ht="34" customHeight="1">
      <c r="A4" s="22" t="inlineStr">
        <is>
          <t>1. עברו ללשונית 'שולחן עבודה'.</t>
        </is>
      </c>
    </row>
    <row r="6" ht="34" customHeight="1">
      <c r="A6" s="22" t="inlineStr">
        <is>
          <t>2. לכל ליד חדש, הוסיפו שורה עם פרטי קשר, מקור, סוג עבודה וסכום פוטנציאלי.</t>
        </is>
      </c>
    </row>
    <row r="8" ht="34" customHeight="1">
      <c r="A8" s="22" t="inlineStr">
        <is>
          <t>3. עדכנו סטטוס (מהרשימה הנפתחת) ככל שהליד מתקדם בצינור המכירות.</t>
        </is>
      </c>
    </row>
    <row r="10" ht="34" customHeight="1">
      <c r="A10" s="22" t="inlineStr">
        <is>
          <t>4. סמנו 'חום ליד' וקבעו תאריך פולואפ הבא.</t>
        </is>
      </c>
    </row>
    <row r="12" ht="34" customHeight="1">
      <c r="A12" s="22" t="inlineStr">
        <is>
          <t>5. עברו ל-לוח הבקרה לראות אחוז המרה, פוטנציאל כולל, והכנסה שנסגרה.</t>
        </is>
      </c>
    </row>
    <row r="14" ht="40" customHeight="1">
      <c r="A14" s="23" t="inlineStr">
        <is>
          <t>טיפ: בדקו כל בוקר אילו לידים דורשים פולואפ היום — זה ההבדל בין ליד שנסגר לליד ששכחתם.</t>
        </is>
      </c>
    </row>
  </sheetData>
  <mergeCells count="8">
    <mergeCell ref="A4:B4"/>
    <mergeCell ref="A2:B2"/>
    <mergeCell ref="A10:B10"/>
    <mergeCell ref="A14:B14"/>
    <mergeCell ref="A1:B1"/>
    <mergeCell ref="A8:B8"/>
    <mergeCell ref="A6:B6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EAF7"/>
    <outlinePr summaryBelow="1" summaryRight="1"/>
    <pageSetUpPr/>
  </sheetPr>
  <dimension ref="A1:C16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70" customWidth="1" min="3" max="3"/>
  </cols>
  <sheetData>
    <row r="1" ht="44" customHeight="1">
      <c r="A1" s="11" t="inlineStr">
        <is>
          <t>מדריך שימוש</t>
        </is>
      </c>
      <c r="B1" s="2" t="n"/>
      <c r="C1" s="2" t="n"/>
    </row>
    <row r="2" ht="24" customHeight="1">
      <c r="A2" s="3" t="inlineStr">
        <is>
          <t>הסבר מלא לכל שדה ולכל חישוב</t>
        </is>
      </c>
      <c r="B2" s="4" t="n"/>
      <c r="C2" s="4" t="n"/>
    </row>
    <row r="4" ht="46" customHeight="1">
      <c r="B4" s="24" t="inlineStr">
        <is>
          <t>מה זה?</t>
        </is>
      </c>
      <c r="C4" s="25" t="inlineStr">
        <is>
          <t>CRM פשוט למעקב לידים ולקוחות פוטנציאליים, מרגע הפנייה הראשונה ועד סגירת העבודה.</t>
        </is>
      </c>
    </row>
    <row r="5" ht="46" customHeight="1">
      <c r="B5" s="24" t="inlineStr">
        <is>
          <t>למי זה מתאים?</t>
        </is>
      </c>
      <c r="C5" s="25" t="inlineStr">
        <is>
          <t>כל בעל מקצוע שמקבל פניות מלקוחות פוטנציאליים ורוצה לוודא שאף ליד לא נשכח.</t>
        </is>
      </c>
    </row>
    <row r="6" ht="46" customHeight="1">
      <c r="B6" s="24" t="inlineStr">
        <is>
          <t>איזו בעיה זה פותר?</t>
        </is>
      </c>
      <c r="C6" s="25" t="inlineStr">
        <is>
          <t>לידים שנופלים בין הכיסאות כי אין מעקב מסודר אחרי כל שלב.</t>
        </is>
      </c>
    </row>
    <row r="7" ht="46" customHeight="1">
      <c r="B7" s="24" t="inlineStr">
        <is>
          <t>איך מתחילים?</t>
        </is>
      </c>
      <c r="C7" s="25" t="inlineStr">
        <is>
          <t>הזינו כל ליד חדש כשורה, עדכנו סטטוס ותאריך פולואפ.</t>
        </is>
      </c>
    </row>
    <row r="8" ht="46" customHeight="1">
      <c r="B8" s="24" t="inlineStr">
        <is>
          <t>מה צריך להזין?</t>
        </is>
      </c>
      <c r="C8" s="25" t="inlineStr">
        <is>
          <t>שם, טלפון, דוא"ל, מקור ליד, סוג עבודה, אזור, סכום פוטנציאלי, סטטוס, חום ליד, תאריך פולואפ.</t>
        </is>
      </c>
    </row>
    <row r="9" ht="46" customHeight="1">
      <c r="B9" s="24" t="inlineStr">
        <is>
          <t>מה מחושב אוטומטית?</t>
        </is>
      </c>
      <c r="C9" s="25" t="inlineStr">
        <is>
          <t>סה"כ לידים, אחוז המרה, פוטנציאל כולל, הכנסה שנסגרה, ולידים חמים שעדיין פתוחים.</t>
        </is>
      </c>
    </row>
    <row r="10" ht="46" customHeight="1">
      <c r="B10" s="24" t="inlineStr">
        <is>
          <t>מה לוח הבקרה מציג?</t>
        </is>
      </c>
      <c r="C10" s="25" t="inlineStr">
        <is>
          <t>תמונת מצב מלאה של צינור המכירות שלכם, כולל התראות על פולואפים דחופים.</t>
        </is>
      </c>
    </row>
    <row r="11" ht="46" customHeight="1">
      <c r="B11" s="24" t="inlineStr">
        <is>
          <t>טיפים</t>
        </is>
      </c>
      <c r="C11" s="25" t="inlineStr">
        <is>
          <t>1) עדכנו סטטוס מיד אחרי כל שיחה/פגישה. 2) לידים 'חמים' תמיד ראויים לפולואפ מיידי.</t>
        </is>
      </c>
    </row>
    <row r="13">
      <c r="B13" s="26" t="inlineStr">
        <is>
          <t>שאלות נפוצות</t>
        </is>
      </c>
    </row>
    <row r="14" ht="40" customHeight="1">
      <c r="B14" s="27" t="inlineStr">
        <is>
          <t>איך מזהים אילו לידים דורשים פולואפ?</t>
        </is>
      </c>
      <c r="C14" s="25" t="inlineStr">
        <is>
          <t>לוח הבקרה סופר אוטומטית לידים עם תאריך פולואפ שהגיע או עבר.</t>
        </is>
      </c>
    </row>
    <row r="15" ht="40" customHeight="1">
      <c r="B15" s="27" t="inlineStr">
        <is>
          <t>אפשר לדעת מאיפה מגיעים הכי הרבה לידים?</t>
        </is>
      </c>
      <c r="C15" s="25" t="inlineStr">
        <is>
          <t>כן — השתמשו ב-COUNTIF על עמודת 'מקור ליד', או סננו/מיינו לפי העמודה.</t>
        </is>
      </c>
    </row>
    <row r="16" ht="40" customHeight="1">
      <c r="B16" s="27" t="inlineStr">
        <is>
          <t>מה קורה כשליד נסגר?</t>
        </is>
      </c>
      <c r="C16" s="25" t="inlineStr">
        <is>
          <t>עדכנו סטטוס ל'נסגר בהצלחה' — הסכום נספר אוטומטית כהכנסה שנסגרה בלוח הבקרה.</t>
        </is>
      </c>
    </row>
  </sheetData>
  <mergeCells count="3">
    <mergeCell ref="A1:C1"/>
    <mergeCell ref="B13:C1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2026-09-13T19:00:18Z</dcterms:created>
  <dcterms:modified xsi:type="dcterms:W3CDTF">2026-09-13T19:00:18Z</dcterms:modified>
</cp:coreProperties>
</file>