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לוח בקרה" sheetId="1" state="visible" r:id="rId1"/>
    <sheet name="שולחן עבודה" sheetId="2" state="visible" r:id="rId2"/>
    <sheet name="התחלה מהירה" sheetId="3" state="visible" r:id="rId3"/>
    <sheet name="מדריך שימו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color rgb="001F4E78"/>
      <sz val="11"/>
    </font>
    <font>
      <name val="Calibri"/>
      <color rgb="00000000"/>
      <sz val="11"/>
    </font>
    <font>
      <name val="Calibri"/>
      <b val="1"/>
      <color rgb="00FFFFFF"/>
      <sz val="22"/>
    </font>
    <font>
      <name val="Calibri"/>
      <b val="1"/>
      <color rgb="0017365D"/>
      <sz val="10"/>
    </font>
    <font>
      <name val="Calibri"/>
      <b val="1"/>
      <color rgb="001F4E78"/>
      <sz val="18"/>
    </font>
    <font>
      <name val="Calibri"/>
      <b val="1"/>
      <color rgb="00FFFFFF"/>
      <sz val="13"/>
    </font>
    <font>
      <name val="Calibri"/>
      <color rgb="0017365D"/>
      <sz val="11"/>
    </font>
    <font>
      <name val="Calibri"/>
      <color rgb="00000000"/>
      <sz val="12"/>
    </font>
    <font>
      <name val="Calibri"/>
      <b val="1"/>
      <color rgb="001F4E78"/>
      <sz val="11"/>
    </font>
    <font>
      <name val="Calibri"/>
      <b val="1"/>
      <color rgb="0017365D"/>
      <sz val="12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B7C6D6"/>
      </left>
      <right style="thin">
        <color rgb="00B7C6D6"/>
      </right>
      <top style="thin">
        <color rgb="00B7C6D6"/>
      </top>
      <bottom style="thin">
        <color rgb="00B7C6D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8" fillId="5" borderId="1" applyAlignment="1" pivotButton="0" quotePrefix="0" xfId="0">
      <alignment horizontal="center" vertical="center" wrapText="1"/>
    </xf>
    <xf numFmtId="3" fontId="9" fillId="6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right" vertical="center" wrapText="1"/>
    </xf>
    <xf numFmtId="0" fontId="11" fillId="4" borderId="0" applyAlignment="1" pivotButton="0" quotePrefix="0" xfId="0">
      <alignment horizontal="right" vertical="center" wrapText="1"/>
    </xf>
    <xf numFmtId="0" fontId="11" fillId="5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right" vertical="center" wrapText="1"/>
    </xf>
    <xf numFmtId="0" fontId="13" fillId="5" borderId="0" applyAlignment="1" pivotButton="0" quotePrefix="0" xfId="0">
      <alignment horizontal="right" vertical="center" wrapText="1"/>
    </xf>
    <xf numFmtId="0" fontId="14" fillId="5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10" fillId="2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יתרת מזומנים חודשית</a:t>
            </a:r>
          </a:p>
        </rich>
      </tx>
    </title>
    <plotArea>
      <lineChart>
        <grouping val="standard"/>
        <ser>
          <idx val="0"/>
          <order val="0"/>
          <tx>
            <strRef>
              <f>'שולחן עבודה'!H3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'שולחן עבודה'!$A$4:$A$15</f>
            </numRef>
          </cat>
          <val>
            <numRef>
              <f>'שולחן עבודה'!$H$4:$H$15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חודש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₪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2:F11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 ht="46" customHeight="1">
      <c r="B2" s="1" t="inlineStr">
        <is>
          <t>לוח בקרה — תכנון תזרים מזומנים</t>
        </is>
      </c>
      <c r="C2" s="2" t="n"/>
      <c r="D2" s="2" t="n"/>
      <c r="E2" s="2" t="n"/>
      <c r="F2" s="2" t="n"/>
    </row>
    <row r="3" ht="22" customHeight="1">
      <c r="B3" s="3" t="inlineStr">
        <is>
          <t>JobMargin — דעו כמה זמן המזומן שלכם יחזיק, לפני שזו בעיה</t>
        </is>
      </c>
      <c r="C3" s="4" t="n"/>
      <c r="D3" s="4" t="n"/>
      <c r="E3" s="4" t="n"/>
      <c r="F3" s="4" t="n"/>
    </row>
    <row r="5" ht="30" customHeight="1">
      <c r="B5" s="5" t="inlineStr">
        <is>
          <t>יתרת סגירה נוכחית (₪)</t>
        </is>
      </c>
      <c r="C5" s="5" t="inlineStr">
        <is>
          <t>ממוצע נטו חודשי (₪)</t>
        </is>
      </c>
      <c r="D5" s="5" t="inlineStr">
        <is>
          <t>חודשים בגירעון</t>
        </is>
      </c>
      <c r="E5" s="5" t="inlineStr">
        <is>
          <t>היתרה הנמוכה ביותר (₪)</t>
        </is>
      </c>
      <c r="F5" s="5" t="inlineStr">
        <is>
          <t>טווח החזקת מזומן (חודשים)</t>
        </is>
      </c>
    </row>
    <row r="6" ht="34" customHeight="1">
      <c r="B6" s="6">
        <f>'שולחן עבודה'!H15</f>
        <v/>
      </c>
      <c r="C6" s="6">
        <f>AVERAGE('שולחן עבודה'!G4:G15)</f>
        <v/>
      </c>
      <c r="D6" s="6">
        <f>COUNTIF('שולחן עבודה'!G4:G15,"&lt;0")</f>
        <v/>
      </c>
      <c r="E6" s="6">
        <f>MIN('שולחן עבודה'!H4:H15)</f>
        <v/>
      </c>
      <c r="F6" s="7">
        <f>IF(AVERAGE('שולחן עבודה'!G4:G15)&gt;=0,"∞",'שולחן עבודה'!H15/-AVERAGE('שולחן עבודה'!G4:G15))</f>
        <v/>
      </c>
    </row>
    <row r="9" ht="26" customHeight="1">
      <c r="B9" s="8" t="inlineStr">
        <is>
          <t>⚠ תובנות עסקיות והתראות</t>
        </is>
      </c>
    </row>
    <row r="10" ht="22" customHeight="1">
      <c r="B10" s="9">
        <f>IF(COUNTIF('שולחן עבודה'!G4:G15,"&lt;0")&gt;0,"יש "&amp;COUNTIF('שולחן עבודה'!G4:G15,"&lt;0")&amp;" חודשים עם נטו שלילי — בדקו תזמון הוצאות.","כל החודשים ברווח נטו חיובי.")</f>
        <v/>
      </c>
    </row>
    <row r="11" ht="22" customHeight="1">
      <c r="B11" s="10">
        <f>IF(MIN('שולחן עבודה'!H4:H15)&lt;0,"יש חודש עם יתרת סגירה שלילית — סיכון ממשי לתזרים!","היתרה החודשית נשארת חיובית לאורך כל השנה.")</f>
        <v/>
      </c>
    </row>
  </sheetData>
  <mergeCells count="5">
    <mergeCell ref="B2:F2"/>
    <mergeCell ref="B10:F10"/>
    <mergeCell ref="B11:F11"/>
    <mergeCell ref="B3:F3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365D"/>
    <outlinePr summaryBelow="1" summaryRight="1"/>
    <pageSetUpPr/>
  </sheetPr>
  <dimension ref="A1:H15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5" customWidth="1" min="8" max="8"/>
  </cols>
  <sheetData>
    <row r="1" ht="44" customHeight="1">
      <c r="A1" s="11" t="inlineStr">
        <is>
          <t>תכנון תזרים מזומנים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הזינו נתונים בתאים הצהובים בלבד — הנטו והיתרות מחושבים אוטומטית</t>
        </is>
      </c>
      <c r="B2" s="4" t="n"/>
      <c r="C2" s="4" t="n"/>
      <c r="D2" s="4" t="n"/>
      <c r="E2" s="4" t="n"/>
      <c r="F2" s="4" t="n"/>
      <c r="G2" s="4" t="n"/>
      <c r="H2" s="4" t="n"/>
    </row>
    <row r="3" ht="34" customHeight="1">
      <c r="A3" s="12" t="inlineStr">
        <is>
          <t>חודש</t>
        </is>
      </c>
      <c r="B3" s="12" t="inlineStr">
        <is>
          <t>יתרת פתיחה</t>
        </is>
      </c>
      <c r="C3" s="12" t="inlineStr">
        <is>
          <t>הכנסות צפויות</t>
        </is>
      </c>
      <c r="D3" s="12" t="inlineStr">
        <is>
          <t>הכנסות בפועל</t>
        </is>
      </c>
      <c r="E3" s="12" t="inlineStr">
        <is>
          <t>הוצאות צפויות</t>
        </is>
      </c>
      <c r="F3" s="12" t="inlineStr">
        <is>
          <t>הוצאות בפועל</t>
        </is>
      </c>
      <c r="G3" s="12" t="inlineStr">
        <is>
          <t>נטו (בפועל)</t>
        </is>
      </c>
      <c r="H3" s="12" t="inlineStr">
        <is>
          <t>יתרת סגירה</t>
        </is>
      </c>
    </row>
    <row r="4">
      <c r="A4" s="13" t="inlineStr">
        <is>
          <t>ינואר</t>
        </is>
      </c>
      <c r="B4" s="14" t="n">
        <v>15000</v>
      </c>
      <c r="C4" s="14" t="n">
        <v>35000</v>
      </c>
      <c r="D4" s="14" t="n">
        <v>42000</v>
      </c>
      <c r="E4" s="14" t="n">
        <v>26000</v>
      </c>
      <c r="F4" s="14" t="n">
        <v>24000</v>
      </c>
      <c r="G4" s="15">
        <f>D4-F4</f>
        <v/>
      </c>
      <c r="H4" s="15">
        <f>B4+G4</f>
        <v/>
      </c>
    </row>
    <row r="5">
      <c r="A5" s="13" t="inlineStr">
        <is>
          <t>פברואר</t>
        </is>
      </c>
      <c r="B5" s="16">
        <f>H4</f>
        <v/>
      </c>
      <c r="C5" s="14" t="n">
        <v>30000</v>
      </c>
      <c r="D5" s="14" t="n">
        <v>27000</v>
      </c>
      <c r="E5" s="14" t="n">
        <v>25000</v>
      </c>
      <c r="F5" s="14" t="n">
        <v>26000</v>
      </c>
      <c r="G5" s="15">
        <f>D5-F5</f>
        <v/>
      </c>
      <c r="H5" s="15">
        <f>B5+G5</f>
        <v/>
      </c>
    </row>
    <row r="6">
      <c r="A6" s="13" t="inlineStr">
        <is>
          <t>מרץ</t>
        </is>
      </c>
      <c r="B6" s="16">
        <f>H5</f>
        <v/>
      </c>
      <c r="C6" s="14" t="n">
        <v>33000</v>
      </c>
      <c r="D6" s="14" t="n">
        <v>35000</v>
      </c>
      <c r="E6" s="14" t="n">
        <v>27000</v>
      </c>
      <c r="F6" s="14" t="n">
        <v>27500</v>
      </c>
      <c r="G6" s="15">
        <f>D6-F6</f>
        <v/>
      </c>
      <c r="H6" s="15">
        <f>B6+G6</f>
        <v/>
      </c>
    </row>
    <row r="7">
      <c r="A7" s="13" t="inlineStr">
        <is>
          <t>אפריל</t>
        </is>
      </c>
      <c r="B7" s="16">
        <f>H6</f>
        <v/>
      </c>
      <c r="C7" s="14" t="n">
        <v>34000</v>
      </c>
      <c r="D7" s="14" t="n">
        <v>31000</v>
      </c>
      <c r="E7" s="14" t="n">
        <v>26000</v>
      </c>
      <c r="F7" s="14" t="n">
        <v>28000</v>
      </c>
      <c r="G7" s="15">
        <f>D7-F7</f>
        <v/>
      </c>
      <c r="H7" s="15">
        <f>B7+G7</f>
        <v/>
      </c>
    </row>
    <row r="8">
      <c r="A8" s="13" t="inlineStr">
        <is>
          <t>מאי</t>
        </is>
      </c>
      <c r="B8" s="16">
        <f>H7</f>
        <v/>
      </c>
      <c r="C8" s="14" t="n">
        <v>36000</v>
      </c>
      <c r="D8" s="14" t="n">
        <v>38000</v>
      </c>
      <c r="E8" s="14" t="n">
        <v>28000</v>
      </c>
      <c r="F8" s="14" t="n">
        <v>27000</v>
      </c>
      <c r="G8" s="15">
        <f>D8-F8</f>
        <v/>
      </c>
      <c r="H8" s="15">
        <f>B8+G8</f>
        <v/>
      </c>
    </row>
    <row r="9">
      <c r="A9" s="13" t="inlineStr">
        <is>
          <t>יוני</t>
        </is>
      </c>
      <c r="B9" s="16">
        <f>H8</f>
        <v/>
      </c>
      <c r="C9" s="14" t="n">
        <v>32000</v>
      </c>
      <c r="D9" s="14" t="n">
        <v>29000</v>
      </c>
      <c r="E9" s="14" t="n">
        <v>27000</v>
      </c>
      <c r="F9" s="14" t="n">
        <v>29000</v>
      </c>
      <c r="G9" s="15">
        <f>D9-F9</f>
        <v/>
      </c>
      <c r="H9" s="15">
        <f>B9+G9</f>
        <v/>
      </c>
    </row>
    <row r="10">
      <c r="A10" s="13" t="inlineStr">
        <is>
          <t>יולי</t>
        </is>
      </c>
      <c r="B10" s="16">
        <f>H9</f>
        <v/>
      </c>
      <c r="C10" s="14" t="n">
        <v>30000</v>
      </c>
      <c r="D10" s="14" t="n">
        <v>26000</v>
      </c>
      <c r="E10" s="14" t="n">
        <v>26000</v>
      </c>
      <c r="F10" s="14" t="n">
        <v>27000</v>
      </c>
      <c r="G10" s="15">
        <f>D10-F10</f>
        <v/>
      </c>
      <c r="H10" s="15">
        <f>B10+G10</f>
        <v/>
      </c>
    </row>
    <row r="11">
      <c r="A11" s="13" t="inlineStr">
        <is>
          <t>אוגוסט</t>
        </is>
      </c>
      <c r="B11" s="16">
        <f>H10</f>
        <v/>
      </c>
      <c r="C11" s="14" t="n">
        <v>34000</v>
      </c>
      <c r="D11" s="14" t="n">
        <v>36000</v>
      </c>
      <c r="E11" s="14" t="n">
        <v>27000</v>
      </c>
      <c r="F11" s="14" t="n">
        <v>26000</v>
      </c>
      <c r="G11" s="15">
        <f>D11-F11</f>
        <v/>
      </c>
      <c r="H11" s="15">
        <f>B11+G11</f>
        <v/>
      </c>
    </row>
    <row r="12">
      <c r="A12" s="13" t="inlineStr">
        <is>
          <t>ספטמבר</t>
        </is>
      </c>
      <c r="B12" s="16">
        <f>H11</f>
        <v/>
      </c>
      <c r="C12" s="14" t="n">
        <v>35000</v>
      </c>
      <c r="D12" s="14" t="n">
        <v>33000</v>
      </c>
      <c r="E12" s="14" t="n">
        <v>28000</v>
      </c>
      <c r="F12" s="14" t="n">
        <v>28500</v>
      </c>
      <c r="G12" s="15">
        <f>D12-F12</f>
        <v/>
      </c>
      <c r="H12" s="15">
        <f>B12+G12</f>
        <v/>
      </c>
    </row>
    <row r="13">
      <c r="A13" s="13" t="inlineStr">
        <is>
          <t>אוקטובר</t>
        </is>
      </c>
      <c r="B13" s="16">
        <f>H12</f>
        <v/>
      </c>
      <c r="C13" s="14" t="n">
        <v>37000</v>
      </c>
      <c r="D13" s="14" t="n">
        <v>40000</v>
      </c>
      <c r="E13" s="14" t="n">
        <v>29000</v>
      </c>
      <c r="F13" s="14" t="n">
        <v>27000</v>
      </c>
      <c r="G13" s="15">
        <f>D13-F13</f>
        <v/>
      </c>
      <c r="H13" s="15">
        <f>B13+G13</f>
        <v/>
      </c>
    </row>
    <row r="14">
      <c r="A14" s="13" t="inlineStr">
        <is>
          <t>נובמבר</t>
        </is>
      </c>
      <c r="B14" s="16">
        <f>H13</f>
        <v/>
      </c>
      <c r="C14" s="14" t="n">
        <v>36000</v>
      </c>
      <c r="D14" s="14" t="n">
        <v>34000</v>
      </c>
      <c r="E14" s="14" t="n">
        <v>28000</v>
      </c>
      <c r="F14" s="14" t="n">
        <v>29000</v>
      </c>
      <c r="G14" s="15">
        <f>D14-F14</f>
        <v/>
      </c>
      <c r="H14" s="15">
        <f>B14+G14</f>
        <v/>
      </c>
    </row>
    <row r="15">
      <c r="A15" s="13" t="inlineStr">
        <is>
          <t>דצמבר</t>
        </is>
      </c>
      <c r="B15" s="16">
        <f>H14</f>
        <v/>
      </c>
      <c r="C15" s="14" t="n">
        <v>38000</v>
      </c>
      <c r="D15" s="14" t="n">
        <v>41000</v>
      </c>
      <c r="E15" s="14" t="n">
        <v>30000</v>
      </c>
      <c r="F15" s="14" t="n">
        <v>28000</v>
      </c>
      <c r="G15" s="15">
        <f>D15-F15</f>
        <v/>
      </c>
      <c r="H15" s="15">
        <f>B15+G15</f>
        <v/>
      </c>
    </row>
  </sheetData>
  <mergeCells count="2">
    <mergeCell ref="A2:H2"/>
    <mergeCell ref="A1:H1"/>
  </mergeCells>
  <conditionalFormatting sqref="H4:H15">
    <cfRule type="expression" priority="1" dxfId="0">
      <formula>H4&lt;0</formula>
    </cfRule>
    <cfRule type="expression" priority="2" dxfId="1">
      <formula>AND(H4&gt;=0,H4&lt;B4)</formula>
    </cfRule>
    <cfRule type="expression" priority="3" dxfId="2">
      <formula>H4&gt;=B4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E2F0D9"/>
    <outlinePr summaryBelow="1" summaryRight="1"/>
    <pageSetUpPr/>
  </sheetPr>
  <dimension ref="A1:B14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44" customHeight="1">
      <c r="A1" s="11" t="inlineStr">
        <is>
          <t>התחלה מהירה</t>
        </is>
      </c>
      <c r="B1" s="2" t="n"/>
    </row>
    <row r="2" ht="24" customHeight="1">
      <c r="A2" s="3" t="inlineStr">
        <is>
          <t>5 צעדים ואתם בפנים</t>
        </is>
      </c>
      <c r="B2" s="4" t="n"/>
    </row>
    <row r="4" ht="34" customHeight="1">
      <c r="A4" s="17" t="inlineStr">
        <is>
          <t>1. עברו ללשונית 'שולחן עבודה' — טבלת 12 החודשים כבר מוכנה.</t>
        </is>
      </c>
    </row>
    <row r="6" ht="34" customHeight="1">
      <c r="A6" s="17" t="inlineStr">
        <is>
          <t>2. הזינו יתרת פתיחה לחודש הראשון בלבד — שאר החודשים ממשיכים אוטומטית.</t>
        </is>
      </c>
    </row>
    <row r="8" ht="34" customHeight="1">
      <c r="A8" s="17" t="inlineStr">
        <is>
          <t>3. מלאו הכנסות והוצאות צפויות (התכנון שלכם) לכל חודש.</t>
        </is>
      </c>
    </row>
    <row r="10" ht="34" customHeight="1">
      <c r="A10" s="17" t="inlineStr">
        <is>
          <t>4. עדכנו הכנסות והוצאות בפועל בסוף כל חודש.</t>
        </is>
      </c>
    </row>
    <row r="12" ht="34" customHeight="1">
      <c r="A12" s="17" t="inlineStr">
        <is>
          <t>5. עברו ל-לוח הבקרה לראות את יתרת הסגירה, החודשים החלשים, ואת טווח החזקת המזומן.</t>
        </is>
      </c>
    </row>
    <row r="14" ht="40" customHeight="1">
      <c r="A14" s="18" t="inlineStr">
        <is>
          <t>טיפ: חודש עם יתרת סגירה אדומה = דגל אזהרה. תכננו מראש איך לגשר על הפער.</t>
        </is>
      </c>
    </row>
  </sheetData>
  <mergeCells count="8">
    <mergeCell ref="A4:B4"/>
    <mergeCell ref="A2:B2"/>
    <mergeCell ref="A10:B10"/>
    <mergeCell ref="A14:B14"/>
    <mergeCell ref="A1:B1"/>
    <mergeCell ref="A8:B8"/>
    <mergeCell ref="A6:B6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EAF7"/>
    <outlinePr summaryBelow="1" summaryRight="1"/>
    <pageSetUpPr/>
  </sheetPr>
  <dimension ref="A1:C17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70" customWidth="1" min="3" max="3"/>
  </cols>
  <sheetData>
    <row r="1" ht="44" customHeight="1">
      <c r="A1" s="11" t="inlineStr">
        <is>
          <t>מדריך שימוש</t>
        </is>
      </c>
      <c r="B1" s="2" t="n"/>
      <c r="C1" s="2" t="n"/>
    </row>
    <row r="2" ht="24" customHeight="1">
      <c r="A2" s="3" t="inlineStr">
        <is>
          <t>הסבר מלא לכל שדה ולכל חישוב</t>
        </is>
      </c>
      <c r="B2" s="4" t="n"/>
      <c r="C2" s="4" t="n"/>
    </row>
    <row r="4" ht="46" customHeight="1">
      <c r="B4" s="19" t="inlineStr">
        <is>
          <t>מה זה?</t>
        </is>
      </c>
      <c r="C4" s="20" t="inlineStr">
        <is>
          <t>כלי לתכנון ומעקב תזרים מזומנים חודשי לאורך שנה שלמה.</t>
        </is>
      </c>
    </row>
    <row r="5" ht="46" customHeight="1">
      <c r="B5" s="19" t="inlineStr">
        <is>
          <t>למי זה מתאים?</t>
        </is>
      </c>
      <c r="C5" s="20" t="inlineStr">
        <is>
          <t>בעלי עסק שרוצים לדעת מראש אם הם עומדים להיכנס למינוס בחודש מסוים.</t>
        </is>
      </c>
    </row>
    <row r="6" ht="46" customHeight="1">
      <c r="B6" s="19" t="inlineStr">
        <is>
          <t>איזו בעיה זה פותר?</t>
        </is>
      </c>
      <c r="C6" s="20" t="inlineStr">
        <is>
          <t>הפתעות תזרימיות — לגלות שאין מספיק מזומן רק כשכבר צריך לשלם.</t>
        </is>
      </c>
    </row>
    <row r="7" ht="46" customHeight="1">
      <c r="B7" s="19" t="inlineStr">
        <is>
          <t>איך מתחילים?</t>
        </is>
      </c>
      <c r="C7" s="20" t="inlineStr">
        <is>
          <t>הזינו יתרת פתיחה לינואר בלבד; כל שאר החודשים ממשיכים אוטומטית מהיתרה הקודמת.</t>
        </is>
      </c>
    </row>
    <row r="8" ht="46" customHeight="1">
      <c r="B8" s="19" t="inlineStr">
        <is>
          <t>מה צריך להזין?</t>
        </is>
      </c>
      <c r="C8" s="20" t="inlineStr">
        <is>
          <t>הכנסות והוצאות צפויות (התכנון) והכנסות והוצאות בפועל, לכל חודש.</t>
        </is>
      </c>
    </row>
    <row r="9" ht="46" customHeight="1">
      <c r="B9" s="19" t="inlineStr">
        <is>
          <t>מה מחושב אוטומטית?</t>
        </is>
      </c>
      <c r="C9" s="20" t="inlineStr">
        <is>
          <t>נטו חודשי (הכנסות בפועל פחות הוצאות בפועל) ויתרת סגירה (יתרת פתיחה + נטו).</t>
        </is>
      </c>
    </row>
    <row r="10" ht="46" customHeight="1">
      <c r="B10" s="19" t="inlineStr">
        <is>
          <t>מה לוח הבקרה מציג?</t>
        </is>
      </c>
      <c r="C10" s="20" t="inlineStr">
        <is>
          <t>יתרת סגירה נוכחית, ממוצע נטו חודשי, מספר חודשים בגירעון, היתרה הנמוכה ביותר, וטווח החזקת המזומן.</t>
        </is>
      </c>
    </row>
    <row r="11" ht="46" customHeight="1">
      <c r="B11" s="19" t="inlineStr">
        <is>
          <t>מה זה טווח החזקת מזומן?</t>
        </is>
      </c>
      <c r="C11" s="20" t="inlineStr">
        <is>
          <t>כמה חודשים היתרה הנוכחית תחזיק אם קצב ההוצאה נטו הממוצע יימשך.</t>
        </is>
      </c>
    </row>
    <row r="12" ht="46" customHeight="1">
      <c r="B12" s="19" t="inlineStr">
        <is>
          <t>טיפים</t>
        </is>
      </c>
      <c r="C12" s="20" t="inlineStr">
        <is>
          <t>1) עדכנו 'בפועל' בסוף כל חודש כדי לשמור על דיוק. 2) אם רואים חודש עם יתרה אדומה — תכננו דחיית הוצאה או זירוז גבייה.</t>
        </is>
      </c>
    </row>
    <row r="14">
      <c r="B14" s="21" t="inlineStr">
        <is>
          <t>שאלות נפוצות</t>
        </is>
      </c>
    </row>
    <row r="15" ht="40" customHeight="1">
      <c r="B15" s="22" t="inlineStr">
        <is>
          <t>איך מוסיפים שנה נוספת?</t>
        </is>
      </c>
      <c r="C15" s="20" t="inlineStr">
        <is>
          <t>העתיקו את 12 השורות מתחת לטבלה הקיימת עם 'חודש 1' חדש שמתחיל מיתרת הסגירה של דצמבר.</t>
        </is>
      </c>
    </row>
    <row r="16" ht="40" customHeight="1">
      <c r="B16" s="22" t="inlineStr">
        <is>
          <t>מה אם אין לי נתוני 'בפועל' עדיין?</t>
        </is>
      </c>
      <c r="C16" s="20" t="inlineStr">
        <is>
          <t>השאירו 0 בינתיים — הנטו יחושב לפי מה שיש, ותוכלו לעדכן כשיהיו נתונים.</t>
        </is>
      </c>
    </row>
    <row r="17" ht="40" customHeight="1">
      <c r="B17" s="22" t="inlineStr">
        <is>
          <t>הגרף לא מציג נתונים?</t>
        </is>
      </c>
      <c r="C17" s="20" t="inlineStr">
        <is>
          <t>ודאו שיש נתונים בעמודת יתרת הסגירה (H) לפחות בחלק מהחודשים.</t>
        </is>
      </c>
    </row>
  </sheetData>
  <mergeCells count="3">
    <mergeCell ref="A1:C1"/>
    <mergeCell ref="B14:C1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2026-09-13T19:32:28Z</dcterms:created>
  <dcterms:modified xsi:type="dcterms:W3CDTF">2026-09-13T19:32:28Z</dcterms:modified>
</cp:coreProperties>
</file>