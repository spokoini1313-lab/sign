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התחלה מהירה" sheetId="3" state="visible" r:id="rId3"/>
    <sheet name="מדריך שימו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i val="1"/>
      <color rgb="0017365D"/>
      <sz val="10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5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right" vertical="center" wrapText="1"/>
    </xf>
    <xf numFmtId="0" fontId="11" fillId="4" borderId="0" applyAlignment="1" pivotButton="0" quotePrefix="0" xfId="0">
      <alignment horizontal="right" vertical="center" wrapText="1"/>
    </xf>
    <xf numFmtId="0" fontId="11" fillId="5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9" fontId="0" fillId="4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13" fillId="7" borderId="0" applyAlignment="1" pivotButton="0" quotePrefix="0" xfId="0">
      <alignment horizontal="right" vertical="center" wrapText="1"/>
    </xf>
    <xf numFmtId="0" fontId="14" fillId="5" borderId="0" applyAlignment="1" pivotButton="0" quotePrefix="0" xfId="0">
      <alignment horizontal="right" vertical="center" wrapText="1"/>
    </xf>
    <xf numFmtId="0" fontId="15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JobMargin</author>
  </authors>
  <commentList>
    <comment ref="N4" authorId="0" shapeId="0">
      <text>
        <t>הזינו כאחוז, למשל 12% (Excel יציג באחוזים)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G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" customWidth="1" min="8" max="8"/>
  </cols>
  <sheetData>
    <row r="2" ht="46" customHeight="1">
      <c r="B2" s="1" t="inlineStr">
        <is>
          <t>לוח בקרה — מחשבון תמחור ורווחיות</t>
        </is>
      </c>
      <c r="C2" s="2" t="n"/>
      <c r="D2" s="2" t="n"/>
      <c r="E2" s="2" t="n"/>
      <c r="F2" s="2" t="n"/>
      <c r="G2" s="2" t="n"/>
    </row>
    <row r="3" ht="22" customHeight="1">
      <c r="B3" s="3" t="inlineStr">
        <is>
          <t>JobMargin — דעו את הרווח האמיתי שלכם לפני שאתם מתמחרים</t>
        </is>
      </c>
      <c r="C3" s="4" t="n"/>
      <c r="D3" s="4" t="n"/>
      <c r="E3" s="4" t="n"/>
      <c r="F3" s="4" t="n"/>
      <c r="G3" s="4" t="n"/>
    </row>
    <row r="5" ht="30" customHeight="1">
      <c r="B5" s="5" t="inlineStr">
        <is>
          <t>סה"כ פרויקטים</t>
        </is>
      </c>
      <c r="C5" s="5" t="inlineStr">
        <is>
          <t>סה"כ רווח (₪)</t>
        </is>
      </c>
      <c r="D5" s="5" t="inlineStr">
        <is>
          <t>רווח ממוצע %</t>
        </is>
      </c>
      <c r="E5" s="5" t="inlineStr">
        <is>
          <t>עבודות רווחיות</t>
        </is>
      </c>
      <c r="F5" s="5" t="inlineStr">
        <is>
          <t>עבודות גבוליות</t>
        </is>
      </c>
      <c r="G5" s="5" t="inlineStr">
        <is>
          <t>עבודות לא רווחיות</t>
        </is>
      </c>
    </row>
    <row r="6" ht="34" customHeight="1">
      <c r="B6" s="6">
        <f>COUNTA('שולחן עבודה'!A4:A28)</f>
        <v/>
      </c>
      <c r="C6" s="6">
        <f>SUM('שולחן עבודה'!Z4:Z28)</f>
        <v/>
      </c>
      <c r="D6" s="7">
        <f>IFERROR(AVERAGE('שולחן עבודה'!AA4:AA28),0)</f>
        <v/>
      </c>
      <c r="E6" s="6">
        <f>COUNTIF('שולחן עבודה'!AC4:AC28,"עבודה רווחית")</f>
        <v/>
      </c>
      <c r="F6" s="6">
        <f>COUNTIF('שולחן עבודה'!AC4:AC28,"גבולית")</f>
        <v/>
      </c>
      <c r="G6" s="6">
        <f>COUNTIF('שולחן עבודה'!AC4:AC28,"לא רווחית")</f>
        <v/>
      </c>
    </row>
    <row r="9" ht="26" customHeight="1">
      <c r="B9" s="8" t="inlineStr">
        <is>
          <t>⚠ תובנות עסקיות והתראות</t>
        </is>
      </c>
    </row>
    <row r="10" ht="22" customHeight="1">
      <c r="B10" s="9">
        <f>IF(COUNTIF('שולחן עבודה'!AC4:AC28,"לא רווחית")&gt;0,"יש "&amp;COUNTIF('שולחן עבודה'!AC4:AC28,"לא רווחית")&amp;" עבודות לא רווחיות — בדוק תמחור לפני שממשיכים.","אין עבודות לא רווחיות כרגע. כל הכבוד!")</f>
        <v/>
      </c>
    </row>
    <row r="11" ht="22" customHeight="1">
      <c r="B11" s="9">
        <f>IF(COUNTIF('שולחן עבודה'!AC4:AC28,"גבולית")&gt;0,"יש "&amp;COUNTIF('שולחן עבודה'!AC4:AC28,"גבולית")&amp;" עבודות גבוליות — שווה לשקול העלאת מחיר.","אין עבודות גבוליות כרגע.")</f>
        <v/>
      </c>
    </row>
    <row r="12" ht="22" customHeight="1">
      <c r="B12" s="10">
        <f>IF(AVERAGE('שולחן עבודה'!AA4:AA28)&lt;0.15,"הרווח הממוצע נמוך מ-15% — כדאי לבדוק את מבנה התמחור הכללי.","הרווח הממוצע בטווח בריא.")</f>
        <v/>
      </c>
    </row>
    <row r="14" ht="20" customHeight="1">
      <c r="B14" s="11" t="inlineStr">
        <is>
          <t>לשולחן העבודה המלא: לשונית שולחן עבודה</t>
        </is>
      </c>
    </row>
  </sheetData>
  <mergeCells count="7">
    <mergeCell ref="B3:G3"/>
    <mergeCell ref="B2:G2"/>
    <mergeCell ref="B10:G10"/>
    <mergeCell ref="B14:G14"/>
    <mergeCell ref="B9:G9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AD2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1" customWidth="1" min="14" max="14"/>
    <col width="11" customWidth="1" min="15" max="15"/>
    <col width="9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4" customWidth="1" min="22" max="22"/>
    <col width="13" customWidth="1" min="23" max="23"/>
    <col width="13" customWidth="1" min="24" max="24"/>
    <col width="14" customWidth="1" min="25" max="25"/>
    <col width="13" customWidth="1" min="26" max="26"/>
    <col width="13" customWidth="1" min="27" max="27"/>
    <col width="13" customWidth="1" min="28" max="28"/>
    <col width="16" customWidth="1" min="29" max="29"/>
    <col width="16" customWidth="1" min="30" max="30"/>
  </cols>
  <sheetData>
    <row r="1" ht="44" customHeight="1">
      <c r="A1" s="12" t="inlineStr">
        <is>
          <t>מחשבון תמחור ורווחיות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24" customHeight="1">
      <c r="A2" s="3" t="inlineStr">
        <is>
          <t>הזינו נתונים בתאים הצהובים בלבד — כל שאר העמודות מחושבות אוטומטית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</row>
    <row r="3" ht="34" customHeight="1">
      <c r="A3" s="13" t="inlineStr">
        <is>
          <t>שם פרויקט</t>
        </is>
      </c>
      <c r="B3" s="13" t="inlineStr">
        <is>
          <t>לקוח</t>
        </is>
      </c>
      <c r="C3" s="13" t="inlineStr">
        <is>
          <t>מס' עובדים</t>
        </is>
      </c>
      <c r="D3" s="13" t="inlineStr">
        <is>
          <t>עלות שעה לעובד (₪)</t>
        </is>
      </c>
      <c r="E3" s="13" t="inlineStr">
        <is>
          <t>שעות עבודה</t>
        </is>
      </c>
      <c r="F3" s="13" t="inlineStr">
        <is>
          <t>עלות חומרים (₪)</t>
        </is>
      </c>
      <c r="G3" s="13" t="inlineStr">
        <is>
          <t>נסיעות (₪)</t>
        </is>
      </c>
      <c r="H3" s="13" t="inlineStr">
        <is>
          <t>דלק (₪)</t>
        </is>
      </c>
      <c r="I3" s="13" t="inlineStr">
        <is>
          <t>חניה (₪)</t>
        </is>
      </c>
      <c r="J3" s="13" t="inlineStr">
        <is>
          <t>קבלני משנה (₪)</t>
        </is>
      </c>
      <c r="K3" s="13" t="inlineStr">
        <is>
          <t>ציוד (₪)</t>
        </is>
      </c>
      <c r="L3" s="13" t="inlineStr">
        <is>
          <t>השכרת כלים (₪)</t>
        </is>
      </c>
      <c r="M3" s="13" t="inlineStr">
        <is>
          <t>הוצאות נוספות (₪)</t>
        </is>
      </c>
      <c r="N3" s="13" t="inlineStr">
        <is>
          <t>תקורה %</t>
        </is>
      </c>
      <c r="O3" s="13" t="inlineStr">
        <is>
          <t>רווח יעד %</t>
        </is>
      </c>
      <c r="P3" s="13" t="inlineStr">
        <is>
          <t>מע"מ %</t>
        </is>
      </c>
      <c r="Q3" s="13" t="inlineStr">
        <is>
          <t>מחיר ללקוח (אם כבר סוכם)</t>
        </is>
      </c>
      <c r="R3" s="13" t="inlineStr">
        <is>
          <t>עלות עבודה</t>
        </is>
      </c>
      <c r="S3" s="13" t="inlineStr">
        <is>
          <t>עלות ישירה</t>
        </is>
      </c>
      <c r="T3" s="13" t="inlineStr">
        <is>
          <t>תקורה בש"ח</t>
        </is>
      </c>
      <c r="U3" s="13" t="inlineStr">
        <is>
          <t>עלות כוללת</t>
        </is>
      </c>
      <c r="V3" s="13" t="inlineStr">
        <is>
          <t>מחיר מינימום</t>
        </is>
      </c>
      <c r="W3" s="13" t="inlineStr">
        <is>
          <t>מחיר מומלץ</t>
        </is>
      </c>
      <c r="X3" s="13" t="inlineStr">
        <is>
          <t>מחיר מומלץ כולל מע"מ</t>
        </is>
      </c>
      <c r="Y3" s="13" t="inlineStr">
        <is>
          <t>מחיר בפועל</t>
        </is>
      </c>
      <c r="Z3" s="13" t="inlineStr">
        <is>
          <t>רווח בש"ח</t>
        </is>
      </c>
      <c r="AA3" s="13" t="inlineStr">
        <is>
          <t>רווח % (Margin)</t>
        </is>
      </c>
      <c r="AB3" s="13" t="inlineStr">
        <is>
          <t>Markup %</t>
        </is>
      </c>
      <c r="AC3" s="13" t="inlineStr">
        <is>
          <t>סטטוס</t>
        </is>
      </c>
      <c r="AD3" s="13" t="inlineStr">
        <is>
          <t>הערות</t>
        </is>
      </c>
    </row>
    <row r="4">
      <c r="A4" s="14" t="inlineStr">
        <is>
          <t>שיפוץ מטבח - וילה כהן</t>
        </is>
      </c>
      <c r="B4" s="14" t="inlineStr">
        <is>
          <t>משפחת כהן</t>
        </is>
      </c>
      <c r="C4" s="15" t="n">
        <v>2</v>
      </c>
      <c r="D4" s="16" t="n">
        <v>90</v>
      </c>
      <c r="E4" s="15" t="n">
        <v>40</v>
      </c>
      <c r="F4" s="16" t="n">
        <v>8500</v>
      </c>
      <c r="G4" s="16" t="n">
        <v>300</v>
      </c>
      <c r="H4" s="16" t="n">
        <v>250</v>
      </c>
      <c r="I4" s="16" t="n">
        <v>80</v>
      </c>
      <c r="J4" s="16" t="n">
        <v>0</v>
      </c>
      <c r="K4" s="16" t="n">
        <v>600</v>
      </c>
      <c r="L4" s="16" t="n">
        <v>400</v>
      </c>
      <c r="M4" s="16" t="n">
        <v>350</v>
      </c>
      <c r="N4" s="17" t="n">
        <v>0.12</v>
      </c>
      <c r="O4" s="17" t="n">
        <v>0.25</v>
      </c>
      <c r="P4" s="17" t="n">
        <v>0.17</v>
      </c>
      <c r="Q4" s="16" t="inlineStr"/>
      <c r="R4" s="18">
        <f>C4*D4*E4</f>
        <v/>
      </c>
      <c r="S4" s="18">
        <f>F4+G4+H4+I4+J4+K4+L4+M4</f>
        <v/>
      </c>
      <c r="T4" s="18">
        <f>(R4+S4)*N4</f>
        <v/>
      </c>
      <c r="U4" s="18">
        <f>R4+S4+T4</f>
        <v/>
      </c>
      <c r="V4" s="18">
        <f>IFERROR(U4/(1-O4),0)</f>
        <v/>
      </c>
      <c r="W4" s="19">
        <f>CEILING(V4,10)</f>
        <v/>
      </c>
      <c r="X4" s="18">
        <f>W4*(1+P4)</f>
        <v/>
      </c>
      <c r="Y4" s="19">
        <f>IF(Q4&gt;0,Q4,W4)</f>
        <v/>
      </c>
      <c r="Z4" s="19">
        <f>Y4-U4</f>
        <v/>
      </c>
      <c r="AA4" s="20">
        <f>IFERROR(Z4/Y4,0)</f>
        <v/>
      </c>
      <c r="AB4" s="20">
        <f>IFERROR(Z4/U4,0)</f>
        <v/>
      </c>
      <c r="AC4" s="21">
        <f>IF(U4=0,"-",IF(AA4&gt;=O4*0.9,"עבודה רווחית",IF(AA4&gt;=0,"גבולית","לא רווחית")))</f>
        <v/>
      </c>
      <c r="AD4" s="22" t="inlineStr"/>
    </row>
    <row r="5">
      <c r="A5" s="14" t="inlineStr">
        <is>
          <t>החלפת לוח חשמל</t>
        </is>
      </c>
      <c r="B5" s="14" t="inlineStr">
        <is>
          <t>עו"ד לוי</t>
        </is>
      </c>
      <c r="C5" s="15" t="n">
        <v>1</v>
      </c>
      <c r="D5" s="16" t="n">
        <v>110</v>
      </c>
      <c r="E5" s="15" t="n">
        <v>10</v>
      </c>
      <c r="F5" s="16" t="n">
        <v>1200</v>
      </c>
      <c r="G5" s="16" t="n">
        <v>0</v>
      </c>
      <c r="H5" s="16" t="n">
        <v>80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100</v>
      </c>
      <c r="N5" s="17" t="n">
        <v>0.1</v>
      </c>
      <c r="O5" s="17" t="n">
        <v>0.3</v>
      </c>
      <c r="P5" s="17" t="n">
        <v>0.17</v>
      </c>
      <c r="Q5" s="16" t="n">
        <v>4200</v>
      </c>
      <c r="R5" s="18">
        <f>C5*D5*E5</f>
        <v/>
      </c>
      <c r="S5" s="18">
        <f>F5+G5+H5+I5+J5+K5+L5+M5</f>
        <v/>
      </c>
      <c r="T5" s="18">
        <f>(R5+S5)*N5</f>
        <v/>
      </c>
      <c r="U5" s="18">
        <f>R5+S5+T5</f>
        <v/>
      </c>
      <c r="V5" s="18">
        <f>IFERROR(U5/(1-O5),0)</f>
        <v/>
      </c>
      <c r="W5" s="19">
        <f>CEILING(V5,10)</f>
        <v/>
      </c>
      <c r="X5" s="18">
        <f>W5*(1+P5)</f>
        <v/>
      </c>
      <c r="Y5" s="19">
        <f>IF(Q5&gt;0,Q5,W5)</f>
        <v/>
      </c>
      <c r="Z5" s="19">
        <f>Y5-U5</f>
        <v/>
      </c>
      <c r="AA5" s="20">
        <f>IFERROR(Z5/Y5,0)</f>
        <v/>
      </c>
      <c r="AB5" s="20">
        <f>IFERROR(Z5/U5,0)</f>
        <v/>
      </c>
      <c r="AC5" s="21">
        <f>IF(U5=0,"-",IF(AA5&gt;=O5*0.9,"עבודה רווחית",IF(AA5&gt;=0,"גבולית","לא רווחית")))</f>
        <v/>
      </c>
      <c r="AD5" s="22" t="inlineStr"/>
    </row>
    <row r="6">
      <c r="A6" s="14" t="inlineStr">
        <is>
          <t>התקנת מיזוג 3 יח'</t>
        </is>
      </c>
      <c r="B6" s="14" t="inlineStr">
        <is>
          <t>מסעדת האורן</t>
        </is>
      </c>
      <c r="C6" s="15" t="n">
        <v>2</v>
      </c>
      <c r="D6" s="16" t="n">
        <v>95</v>
      </c>
      <c r="E6" s="15" t="n">
        <v>16</v>
      </c>
      <c r="F6" s="16" t="n">
        <v>3200</v>
      </c>
      <c r="G6" s="16" t="n">
        <v>150</v>
      </c>
      <c r="H6" s="16" t="n">
        <v>180</v>
      </c>
      <c r="I6" s="16" t="n">
        <v>40</v>
      </c>
      <c r="J6" s="16" t="n">
        <v>1500</v>
      </c>
      <c r="K6" s="16" t="n">
        <v>300</v>
      </c>
      <c r="L6" s="16" t="n">
        <v>0</v>
      </c>
      <c r="M6" s="16" t="n">
        <v>200</v>
      </c>
      <c r="N6" s="17" t="n">
        <v>0.15</v>
      </c>
      <c r="O6" s="17" t="n">
        <v>0.2</v>
      </c>
      <c r="P6" s="17" t="n">
        <v>0.17</v>
      </c>
      <c r="Q6" s="16" t="inlineStr"/>
      <c r="R6" s="18">
        <f>C6*D6*E6</f>
        <v/>
      </c>
      <c r="S6" s="18">
        <f>F6+G6+H6+I6+J6+K6+L6+M6</f>
        <v/>
      </c>
      <c r="T6" s="18">
        <f>(R6+S6)*N6</f>
        <v/>
      </c>
      <c r="U6" s="18">
        <f>R6+S6+T6</f>
        <v/>
      </c>
      <c r="V6" s="18">
        <f>IFERROR(U6/(1-O6),0)</f>
        <v/>
      </c>
      <c r="W6" s="19">
        <f>CEILING(V6,10)</f>
        <v/>
      </c>
      <c r="X6" s="18">
        <f>W6*(1+P6)</f>
        <v/>
      </c>
      <c r="Y6" s="19">
        <f>IF(Q6&gt;0,Q6,W6)</f>
        <v/>
      </c>
      <c r="Z6" s="19">
        <f>Y6-U6</f>
        <v/>
      </c>
      <c r="AA6" s="20">
        <f>IFERROR(Z6/Y6,0)</f>
        <v/>
      </c>
      <c r="AB6" s="20">
        <f>IFERROR(Z6/U6,0)</f>
        <v/>
      </c>
      <c r="AC6" s="21">
        <f>IF(U6=0,"-",IF(AA6&gt;=O6*0.9,"עבודה רווחית",IF(AA6&gt;=0,"גבולית","לא רווחית")))</f>
        <v/>
      </c>
      <c r="AD6" s="22" t="inlineStr"/>
    </row>
    <row r="7">
      <c r="A7" s="14" t="inlineStr">
        <is>
          <t>איטום גג</t>
        </is>
      </c>
      <c r="B7" s="14" t="inlineStr">
        <is>
          <t>בניין משותף רוטשילד</t>
        </is>
      </c>
      <c r="C7" s="15" t="n">
        <v>3</v>
      </c>
      <c r="D7" s="16" t="n">
        <v>85</v>
      </c>
      <c r="E7" s="15" t="n">
        <v>24</v>
      </c>
      <c r="F7" s="16" t="n">
        <v>4100</v>
      </c>
      <c r="G7" s="16" t="n">
        <v>200</v>
      </c>
      <c r="H7" s="16" t="n">
        <v>300</v>
      </c>
      <c r="I7" s="16" t="n">
        <v>60</v>
      </c>
      <c r="J7" s="16" t="n">
        <v>0</v>
      </c>
      <c r="K7" s="16" t="n">
        <v>450</v>
      </c>
      <c r="L7" s="16" t="n">
        <v>250</v>
      </c>
      <c r="M7" s="16" t="n">
        <v>300</v>
      </c>
      <c r="N7" s="17" t="n">
        <v>0.12</v>
      </c>
      <c r="O7" s="17" t="n">
        <v>0.22</v>
      </c>
      <c r="P7" s="17" t="n">
        <v>0.17</v>
      </c>
      <c r="Q7" s="16" t="inlineStr"/>
      <c r="R7" s="18">
        <f>C7*D7*E7</f>
        <v/>
      </c>
      <c r="S7" s="18">
        <f>F7+G7+H7+I7+J7+K7+L7+M7</f>
        <v/>
      </c>
      <c r="T7" s="18">
        <f>(R7+S7)*N7</f>
        <v/>
      </c>
      <c r="U7" s="18">
        <f>R7+S7+T7</f>
        <v/>
      </c>
      <c r="V7" s="18">
        <f>IFERROR(U7/(1-O7),0)</f>
        <v/>
      </c>
      <c r="W7" s="19">
        <f>CEILING(V7,10)</f>
        <v/>
      </c>
      <c r="X7" s="18">
        <f>W7*(1+P7)</f>
        <v/>
      </c>
      <c r="Y7" s="19">
        <f>IF(Q7&gt;0,Q7,W7)</f>
        <v/>
      </c>
      <c r="Z7" s="19">
        <f>Y7-U7</f>
        <v/>
      </c>
      <c r="AA7" s="20">
        <f>IFERROR(Z7/Y7,0)</f>
        <v/>
      </c>
      <c r="AB7" s="20">
        <f>IFERROR(Z7/U7,0)</f>
        <v/>
      </c>
      <c r="AC7" s="21">
        <f>IF(U7=0,"-",IF(AA7&gt;=O7*0.9,"עבודה רווחית",IF(AA7&gt;=0,"גבולית","לא רווחית")))</f>
        <v/>
      </c>
      <c r="AD7" s="22" t="inlineStr"/>
    </row>
    <row r="8">
      <c r="A8" s="14" t="inlineStr">
        <is>
          <t>ריצוף חדר אמבטיה</t>
        </is>
      </c>
      <c r="B8" s="14" t="inlineStr">
        <is>
          <t>דירת גורן</t>
        </is>
      </c>
      <c r="C8" s="15" t="n">
        <v>2</v>
      </c>
      <c r="D8" s="16" t="n">
        <v>90</v>
      </c>
      <c r="E8" s="15" t="n">
        <v>20</v>
      </c>
      <c r="F8" s="16" t="n">
        <v>2600</v>
      </c>
      <c r="G8" s="16" t="n">
        <v>100</v>
      </c>
      <c r="H8" s="16" t="n">
        <v>150</v>
      </c>
      <c r="I8" s="16" t="n">
        <v>30</v>
      </c>
      <c r="J8" s="16" t="n">
        <v>0</v>
      </c>
      <c r="K8" s="16" t="n">
        <v>0</v>
      </c>
      <c r="L8" s="16" t="n">
        <v>0</v>
      </c>
      <c r="M8" s="16" t="n">
        <v>150</v>
      </c>
      <c r="N8" s="17" t="n">
        <v>0.1</v>
      </c>
      <c r="O8" s="17" t="n">
        <v>0.28</v>
      </c>
      <c r="P8" s="17" t="n">
        <v>0.17</v>
      </c>
      <c r="Q8" s="16" t="n">
        <v>7500</v>
      </c>
      <c r="R8" s="18">
        <f>C8*D8*E8</f>
        <v/>
      </c>
      <c r="S8" s="18">
        <f>F8+G8+H8+I8+J8+K8+L8+M8</f>
        <v/>
      </c>
      <c r="T8" s="18">
        <f>(R8+S8)*N8</f>
        <v/>
      </c>
      <c r="U8" s="18">
        <f>R8+S8+T8</f>
        <v/>
      </c>
      <c r="V8" s="18">
        <f>IFERROR(U8/(1-O8),0)</f>
        <v/>
      </c>
      <c r="W8" s="19">
        <f>CEILING(V8,10)</f>
        <v/>
      </c>
      <c r="X8" s="18">
        <f>W8*(1+P8)</f>
        <v/>
      </c>
      <c r="Y8" s="19">
        <f>IF(Q8&gt;0,Q8,W8)</f>
        <v/>
      </c>
      <c r="Z8" s="19">
        <f>Y8-U8</f>
        <v/>
      </c>
      <c r="AA8" s="20">
        <f>IFERROR(Z8/Y8,0)</f>
        <v/>
      </c>
      <c r="AB8" s="20">
        <f>IFERROR(Z8/U8,0)</f>
        <v/>
      </c>
      <c r="AC8" s="21">
        <f>IF(U8=0,"-",IF(AA8&gt;=O8*0.9,"עבודה רווחית",IF(AA8&gt;=0,"גבולית","לא רווחית")))</f>
        <v/>
      </c>
      <c r="AD8" s="22" t="inlineStr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4" t="n"/>
      <c r="O9" s="24" t="n"/>
      <c r="P9" s="24" t="n"/>
      <c r="Q9" s="23" t="n"/>
      <c r="R9" s="25">
        <f>IF(C9="","",C9*D9*E9)</f>
        <v/>
      </c>
      <c r="S9" s="25">
        <f>IF(C9="","",F9+G9+H9+I9+J9+K9+L9+M9)</f>
        <v/>
      </c>
      <c r="T9" s="25">
        <f>IF(C9="","",(R9+S9)*N9)</f>
        <v/>
      </c>
      <c r="U9" s="25">
        <f>IF(C9="","",R9+S9+T9)</f>
        <v/>
      </c>
      <c r="V9" s="25">
        <f>IF(C9="","",IFERROR(U9/(1-O9),0))</f>
        <v/>
      </c>
      <c r="W9" s="25">
        <f>IF(C9="","",CEILING(V9,10))</f>
        <v/>
      </c>
      <c r="X9" s="25">
        <f>IF(C9="","",W9*(1+P9))</f>
        <v/>
      </c>
      <c r="Y9" s="25">
        <f>IF(C9="","",IF(Q9&gt;0,Q9,W9))</f>
        <v/>
      </c>
      <c r="Z9" s="25">
        <f>IF(C9="","",Y9-U9)</f>
        <v/>
      </c>
      <c r="AA9" s="26">
        <f>IF(C9="","",IFERROR(Z9/Y9,0))</f>
        <v/>
      </c>
      <c r="AB9" s="26">
        <f>IF(C9="","",IFERROR(Z9/U9,0))</f>
        <v/>
      </c>
      <c r="AC9" s="22">
        <f>IF(C9="","",IF(U9=0,"-",IF(AA9&gt;=O9*0.9,"עבודה רווחית",IF(AA9&gt;=0,"גבולית","לא רווחית"))))</f>
        <v/>
      </c>
      <c r="AD9" s="22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  <c r="O10" s="24" t="n"/>
      <c r="P10" s="24" t="n"/>
      <c r="Q10" s="23" t="n"/>
      <c r="R10" s="25">
        <f>IF(C10="","",C10*D10*E10)</f>
        <v/>
      </c>
      <c r="S10" s="25">
        <f>IF(C10="","",F10+G10+H10+I10+J10+K10+L10+M10)</f>
        <v/>
      </c>
      <c r="T10" s="25">
        <f>IF(C10="","",(R10+S10)*N10)</f>
        <v/>
      </c>
      <c r="U10" s="25">
        <f>IF(C10="","",R10+S10+T10)</f>
        <v/>
      </c>
      <c r="V10" s="25">
        <f>IF(C10="","",IFERROR(U10/(1-O10),0))</f>
        <v/>
      </c>
      <c r="W10" s="25">
        <f>IF(C10="","",CEILING(V10,10))</f>
        <v/>
      </c>
      <c r="X10" s="25">
        <f>IF(C10="","",W10*(1+P10))</f>
        <v/>
      </c>
      <c r="Y10" s="25">
        <f>IF(C10="","",IF(Q10&gt;0,Q10,W10))</f>
        <v/>
      </c>
      <c r="Z10" s="25">
        <f>IF(C10="","",Y10-U10)</f>
        <v/>
      </c>
      <c r="AA10" s="26">
        <f>IF(C10="","",IFERROR(Z10/Y10,0))</f>
        <v/>
      </c>
      <c r="AB10" s="26">
        <f>IF(C10="","",IFERROR(Z10/U10,0))</f>
        <v/>
      </c>
      <c r="AC10" s="22">
        <f>IF(C10="","",IF(U10=0,"-",IF(AA10&gt;=O10*0.9,"עבודה רווחית",IF(AA10&gt;=0,"גבולית","לא רווחית"))))</f>
        <v/>
      </c>
      <c r="AD10" s="22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4" t="n"/>
      <c r="O11" s="24" t="n"/>
      <c r="P11" s="24" t="n"/>
      <c r="Q11" s="23" t="n"/>
      <c r="R11" s="25">
        <f>IF(C11="","",C11*D11*E11)</f>
        <v/>
      </c>
      <c r="S11" s="25">
        <f>IF(C11="","",F11+G11+H11+I11+J11+K11+L11+M11)</f>
        <v/>
      </c>
      <c r="T11" s="25">
        <f>IF(C11="","",(R11+S11)*N11)</f>
        <v/>
      </c>
      <c r="U11" s="25">
        <f>IF(C11="","",R11+S11+T11)</f>
        <v/>
      </c>
      <c r="V11" s="25">
        <f>IF(C11="","",IFERROR(U11/(1-O11),0))</f>
        <v/>
      </c>
      <c r="W11" s="25">
        <f>IF(C11="","",CEILING(V11,10))</f>
        <v/>
      </c>
      <c r="X11" s="25">
        <f>IF(C11="","",W11*(1+P11))</f>
        <v/>
      </c>
      <c r="Y11" s="25">
        <f>IF(C11="","",IF(Q11&gt;0,Q11,W11))</f>
        <v/>
      </c>
      <c r="Z11" s="25">
        <f>IF(C11="","",Y11-U11)</f>
        <v/>
      </c>
      <c r="AA11" s="26">
        <f>IF(C11="","",IFERROR(Z11/Y11,0))</f>
        <v/>
      </c>
      <c r="AB11" s="26">
        <f>IF(C11="","",IFERROR(Z11/U11,0))</f>
        <v/>
      </c>
      <c r="AC11" s="22">
        <f>IF(C11="","",IF(U11=0,"-",IF(AA11&gt;=O11*0.9,"עבודה רווחית",IF(AA11&gt;=0,"גבולית","לא רווחית"))))</f>
        <v/>
      </c>
      <c r="AD11" s="22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4" t="n"/>
      <c r="O12" s="24" t="n"/>
      <c r="P12" s="24" t="n"/>
      <c r="Q12" s="23" t="n"/>
      <c r="R12" s="25">
        <f>IF(C12="","",C12*D12*E12)</f>
        <v/>
      </c>
      <c r="S12" s="25">
        <f>IF(C12="","",F12+G12+H12+I12+J12+K12+L12+M12)</f>
        <v/>
      </c>
      <c r="T12" s="25">
        <f>IF(C12="","",(R12+S12)*N12)</f>
        <v/>
      </c>
      <c r="U12" s="25">
        <f>IF(C12="","",R12+S12+T12)</f>
        <v/>
      </c>
      <c r="V12" s="25">
        <f>IF(C12="","",IFERROR(U12/(1-O12),0))</f>
        <v/>
      </c>
      <c r="W12" s="25">
        <f>IF(C12="","",CEILING(V12,10))</f>
        <v/>
      </c>
      <c r="X12" s="25">
        <f>IF(C12="","",W12*(1+P12))</f>
        <v/>
      </c>
      <c r="Y12" s="25">
        <f>IF(C12="","",IF(Q12&gt;0,Q12,W12))</f>
        <v/>
      </c>
      <c r="Z12" s="25">
        <f>IF(C12="","",Y12-U12)</f>
        <v/>
      </c>
      <c r="AA12" s="26">
        <f>IF(C12="","",IFERROR(Z12/Y12,0))</f>
        <v/>
      </c>
      <c r="AB12" s="26">
        <f>IF(C12="","",IFERROR(Z12/U12,0))</f>
        <v/>
      </c>
      <c r="AC12" s="22">
        <f>IF(C12="","",IF(U12=0,"-",IF(AA12&gt;=O12*0.9,"עבודה רווחית",IF(AA12&gt;=0,"גבולית","לא רווחית"))))</f>
        <v/>
      </c>
      <c r="AD12" s="22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4" t="n"/>
      <c r="O13" s="24" t="n"/>
      <c r="P13" s="24" t="n"/>
      <c r="Q13" s="23" t="n"/>
      <c r="R13" s="25">
        <f>IF(C13="","",C13*D13*E13)</f>
        <v/>
      </c>
      <c r="S13" s="25">
        <f>IF(C13="","",F13+G13+H13+I13+J13+K13+L13+M13)</f>
        <v/>
      </c>
      <c r="T13" s="25">
        <f>IF(C13="","",(R13+S13)*N13)</f>
        <v/>
      </c>
      <c r="U13" s="25">
        <f>IF(C13="","",R13+S13+T13)</f>
        <v/>
      </c>
      <c r="V13" s="25">
        <f>IF(C13="","",IFERROR(U13/(1-O13),0))</f>
        <v/>
      </c>
      <c r="W13" s="25">
        <f>IF(C13="","",CEILING(V13,10))</f>
        <v/>
      </c>
      <c r="X13" s="25">
        <f>IF(C13="","",W13*(1+P13))</f>
        <v/>
      </c>
      <c r="Y13" s="25">
        <f>IF(C13="","",IF(Q13&gt;0,Q13,W13))</f>
        <v/>
      </c>
      <c r="Z13" s="25">
        <f>IF(C13="","",Y13-U13)</f>
        <v/>
      </c>
      <c r="AA13" s="26">
        <f>IF(C13="","",IFERROR(Z13/Y13,0))</f>
        <v/>
      </c>
      <c r="AB13" s="26">
        <f>IF(C13="","",IFERROR(Z13/U13,0))</f>
        <v/>
      </c>
      <c r="AC13" s="22">
        <f>IF(C13="","",IF(U13=0,"-",IF(AA13&gt;=O13*0.9,"עבודה רווחית",IF(AA13&gt;=0,"גבולית","לא רווחית"))))</f>
        <v/>
      </c>
      <c r="AD13" s="22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4" t="n"/>
      <c r="O14" s="24" t="n"/>
      <c r="P14" s="24" t="n"/>
      <c r="Q14" s="23" t="n"/>
      <c r="R14" s="25">
        <f>IF(C14="","",C14*D14*E14)</f>
        <v/>
      </c>
      <c r="S14" s="25">
        <f>IF(C14="","",F14+G14+H14+I14+J14+K14+L14+M14)</f>
        <v/>
      </c>
      <c r="T14" s="25">
        <f>IF(C14="","",(R14+S14)*N14)</f>
        <v/>
      </c>
      <c r="U14" s="25">
        <f>IF(C14="","",R14+S14+T14)</f>
        <v/>
      </c>
      <c r="V14" s="25">
        <f>IF(C14="","",IFERROR(U14/(1-O14),0))</f>
        <v/>
      </c>
      <c r="W14" s="25">
        <f>IF(C14="","",CEILING(V14,10))</f>
        <v/>
      </c>
      <c r="X14" s="25">
        <f>IF(C14="","",W14*(1+P14))</f>
        <v/>
      </c>
      <c r="Y14" s="25">
        <f>IF(C14="","",IF(Q14&gt;0,Q14,W14))</f>
        <v/>
      </c>
      <c r="Z14" s="25">
        <f>IF(C14="","",Y14-U14)</f>
        <v/>
      </c>
      <c r="AA14" s="26">
        <f>IF(C14="","",IFERROR(Z14/Y14,0))</f>
        <v/>
      </c>
      <c r="AB14" s="26">
        <f>IF(C14="","",IFERROR(Z14/U14,0))</f>
        <v/>
      </c>
      <c r="AC14" s="22">
        <f>IF(C14="","",IF(U14=0,"-",IF(AA14&gt;=O14*0.9,"עבודה רווחית",IF(AA14&gt;=0,"גבולית","לא רווחית"))))</f>
        <v/>
      </c>
      <c r="AD14" s="22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4" t="n"/>
      <c r="O15" s="24" t="n"/>
      <c r="P15" s="24" t="n"/>
      <c r="Q15" s="23" t="n"/>
      <c r="R15" s="25">
        <f>IF(C15="","",C15*D15*E15)</f>
        <v/>
      </c>
      <c r="S15" s="25">
        <f>IF(C15="","",F15+G15+H15+I15+J15+K15+L15+M15)</f>
        <v/>
      </c>
      <c r="T15" s="25">
        <f>IF(C15="","",(R15+S15)*N15)</f>
        <v/>
      </c>
      <c r="U15" s="25">
        <f>IF(C15="","",R15+S15+T15)</f>
        <v/>
      </c>
      <c r="V15" s="25">
        <f>IF(C15="","",IFERROR(U15/(1-O15),0))</f>
        <v/>
      </c>
      <c r="W15" s="25">
        <f>IF(C15="","",CEILING(V15,10))</f>
        <v/>
      </c>
      <c r="X15" s="25">
        <f>IF(C15="","",W15*(1+P15))</f>
        <v/>
      </c>
      <c r="Y15" s="25">
        <f>IF(C15="","",IF(Q15&gt;0,Q15,W15))</f>
        <v/>
      </c>
      <c r="Z15" s="25">
        <f>IF(C15="","",Y15-U15)</f>
        <v/>
      </c>
      <c r="AA15" s="26">
        <f>IF(C15="","",IFERROR(Z15/Y15,0))</f>
        <v/>
      </c>
      <c r="AB15" s="26">
        <f>IF(C15="","",IFERROR(Z15/U15,0))</f>
        <v/>
      </c>
      <c r="AC15" s="22">
        <f>IF(C15="","",IF(U15=0,"-",IF(AA15&gt;=O15*0.9,"עבודה רווחית",IF(AA15&gt;=0,"גבולית","לא רווחית"))))</f>
        <v/>
      </c>
      <c r="AD15" s="22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4" t="n"/>
      <c r="O16" s="24" t="n"/>
      <c r="P16" s="24" t="n"/>
      <c r="Q16" s="23" t="n"/>
      <c r="R16" s="25">
        <f>IF(C16="","",C16*D16*E16)</f>
        <v/>
      </c>
      <c r="S16" s="25">
        <f>IF(C16="","",F16+G16+H16+I16+J16+K16+L16+M16)</f>
        <v/>
      </c>
      <c r="T16" s="25">
        <f>IF(C16="","",(R16+S16)*N16)</f>
        <v/>
      </c>
      <c r="U16" s="25">
        <f>IF(C16="","",R16+S16+T16)</f>
        <v/>
      </c>
      <c r="V16" s="25">
        <f>IF(C16="","",IFERROR(U16/(1-O16),0))</f>
        <v/>
      </c>
      <c r="W16" s="25">
        <f>IF(C16="","",CEILING(V16,10))</f>
        <v/>
      </c>
      <c r="X16" s="25">
        <f>IF(C16="","",W16*(1+P16))</f>
        <v/>
      </c>
      <c r="Y16" s="25">
        <f>IF(C16="","",IF(Q16&gt;0,Q16,W16))</f>
        <v/>
      </c>
      <c r="Z16" s="25">
        <f>IF(C16="","",Y16-U16)</f>
        <v/>
      </c>
      <c r="AA16" s="26">
        <f>IF(C16="","",IFERROR(Z16/Y16,0))</f>
        <v/>
      </c>
      <c r="AB16" s="26">
        <f>IF(C16="","",IFERROR(Z16/U16,0))</f>
        <v/>
      </c>
      <c r="AC16" s="22">
        <f>IF(C16="","",IF(U16=0,"-",IF(AA16&gt;=O16*0.9,"עבודה רווחית",IF(AA16&gt;=0,"גבולית","לא רווחית"))))</f>
        <v/>
      </c>
      <c r="AD16" s="22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4" t="n"/>
      <c r="O17" s="24" t="n"/>
      <c r="P17" s="24" t="n"/>
      <c r="Q17" s="23" t="n"/>
      <c r="R17" s="25">
        <f>IF(C17="","",C17*D17*E17)</f>
        <v/>
      </c>
      <c r="S17" s="25">
        <f>IF(C17="","",F17+G17+H17+I17+J17+K17+L17+M17)</f>
        <v/>
      </c>
      <c r="T17" s="25">
        <f>IF(C17="","",(R17+S17)*N17)</f>
        <v/>
      </c>
      <c r="U17" s="25">
        <f>IF(C17="","",R17+S17+T17)</f>
        <v/>
      </c>
      <c r="V17" s="25">
        <f>IF(C17="","",IFERROR(U17/(1-O17),0))</f>
        <v/>
      </c>
      <c r="W17" s="25">
        <f>IF(C17="","",CEILING(V17,10))</f>
        <v/>
      </c>
      <c r="X17" s="25">
        <f>IF(C17="","",W17*(1+P17))</f>
        <v/>
      </c>
      <c r="Y17" s="25">
        <f>IF(C17="","",IF(Q17&gt;0,Q17,W17))</f>
        <v/>
      </c>
      <c r="Z17" s="25">
        <f>IF(C17="","",Y17-U17)</f>
        <v/>
      </c>
      <c r="AA17" s="26">
        <f>IF(C17="","",IFERROR(Z17/Y17,0))</f>
        <v/>
      </c>
      <c r="AB17" s="26">
        <f>IF(C17="","",IFERROR(Z17/U17,0))</f>
        <v/>
      </c>
      <c r="AC17" s="22">
        <f>IF(C17="","",IF(U17=0,"-",IF(AA17&gt;=O17*0.9,"עבודה רווחית",IF(AA17&gt;=0,"גבולית","לא רווחית"))))</f>
        <v/>
      </c>
      <c r="AD17" s="22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4" t="n"/>
      <c r="O18" s="24" t="n"/>
      <c r="P18" s="24" t="n"/>
      <c r="Q18" s="23" t="n"/>
      <c r="R18" s="25">
        <f>IF(C18="","",C18*D18*E18)</f>
        <v/>
      </c>
      <c r="S18" s="25">
        <f>IF(C18="","",F18+G18+H18+I18+J18+K18+L18+M18)</f>
        <v/>
      </c>
      <c r="T18" s="25">
        <f>IF(C18="","",(R18+S18)*N18)</f>
        <v/>
      </c>
      <c r="U18" s="25">
        <f>IF(C18="","",R18+S18+T18)</f>
        <v/>
      </c>
      <c r="V18" s="25">
        <f>IF(C18="","",IFERROR(U18/(1-O18),0))</f>
        <v/>
      </c>
      <c r="W18" s="25">
        <f>IF(C18="","",CEILING(V18,10))</f>
        <v/>
      </c>
      <c r="X18" s="25">
        <f>IF(C18="","",W18*(1+P18))</f>
        <v/>
      </c>
      <c r="Y18" s="25">
        <f>IF(C18="","",IF(Q18&gt;0,Q18,W18))</f>
        <v/>
      </c>
      <c r="Z18" s="25">
        <f>IF(C18="","",Y18-U18)</f>
        <v/>
      </c>
      <c r="AA18" s="26">
        <f>IF(C18="","",IFERROR(Z18/Y18,0))</f>
        <v/>
      </c>
      <c r="AB18" s="26">
        <f>IF(C18="","",IFERROR(Z18/U18,0))</f>
        <v/>
      </c>
      <c r="AC18" s="22">
        <f>IF(C18="","",IF(U18=0,"-",IF(AA18&gt;=O18*0.9,"עבודה רווחית",IF(AA18&gt;=0,"גבולית","לא רווחית"))))</f>
        <v/>
      </c>
      <c r="AD18" s="22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4" t="n"/>
      <c r="O19" s="24" t="n"/>
      <c r="P19" s="24" t="n"/>
      <c r="Q19" s="23" t="n"/>
      <c r="R19" s="25">
        <f>IF(C19="","",C19*D19*E19)</f>
        <v/>
      </c>
      <c r="S19" s="25">
        <f>IF(C19="","",F19+G19+H19+I19+J19+K19+L19+M19)</f>
        <v/>
      </c>
      <c r="T19" s="25">
        <f>IF(C19="","",(R19+S19)*N19)</f>
        <v/>
      </c>
      <c r="U19" s="25">
        <f>IF(C19="","",R19+S19+T19)</f>
        <v/>
      </c>
      <c r="V19" s="25">
        <f>IF(C19="","",IFERROR(U19/(1-O19),0))</f>
        <v/>
      </c>
      <c r="W19" s="25">
        <f>IF(C19="","",CEILING(V19,10))</f>
        <v/>
      </c>
      <c r="X19" s="25">
        <f>IF(C19="","",W19*(1+P19))</f>
        <v/>
      </c>
      <c r="Y19" s="25">
        <f>IF(C19="","",IF(Q19&gt;0,Q19,W19))</f>
        <v/>
      </c>
      <c r="Z19" s="25">
        <f>IF(C19="","",Y19-U19)</f>
        <v/>
      </c>
      <c r="AA19" s="26">
        <f>IF(C19="","",IFERROR(Z19/Y19,0))</f>
        <v/>
      </c>
      <c r="AB19" s="26">
        <f>IF(C19="","",IFERROR(Z19/U19,0))</f>
        <v/>
      </c>
      <c r="AC19" s="22">
        <f>IF(C19="","",IF(U19=0,"-",IF(AA19&gt;=O19*0.9,"עבודה רווחית",IF(AA19&gt;=0,"גבולית","לא רווחית"))))</f>
        <v/>
      </c>
      <c r="AD19" s="22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4" t="n"/>
      <c r="O20" s="24" t="n"/>
      <c r="P20" s="24" t="n"/>
      <c r="Q20" s="23" t="n"/>
      <c r="R20" s="25">
        <f>IF(C20="","",C20*D20*E20)</f>
        <v/>
      </c>
      <c r="S20" s="25">
        <f>IF(C20="","",F20+G20+H20+I20+J20+K20+L20+M20)</f>
        <v/>
      </c>
      <c r="T20" s="25">
        <f>IF(C20="","",(R20+S20)*N20)</f>
        <v/>
      </c>
      <c r="U20" s="25">
        <f>IF(C20="","",R20+S20+T20)</f>
        <v/>
      </c>
      <c r="V20" s="25">
        <f>IF(C20="","",IFERROR(U20/(1-O20),0))</f>
        <v/>
      </c>
      <c r="W20" s="25">
        <f>IF(C20="","",CEILING(V20,10))</f>
        <v/>
      </c>
      <c r="X20" s="25">
        <f>IF(C20="","",W20*(1+P20))</f>
        <v/>
      </c>
      <c r="Y20" s="25">
        <f>IF(C20="","",IF(Q20&gt;0,Q20,W20))</f>
        <v/>
      </c>
      <c r="Z20" s="25">
        <f>IF(C20="","",Y20-U20)</f>
        <v/>
      </c>
      <c r="AA20" s="26">
        <f>IF(C20="","",IFERROR(Z20/Y20,0))</f>
        <v/>
      </c>
      <c r="AB20" s="26">
        <f>IF(C20="","",IFERROR(Z20/U20,0))</f>
        <v/>
      </c>
      <c r="AC20" s="22">
        <f>IF(C20="","",IF(U20=0,"-",IF(AA20&gt;=O20*0.9,"עבודה רווחית",IF(AA20&gt;=0,"גבולית","לא רווחית"))))</f>
        <v/>
      </c>
      <c r="AD20" s="22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4" t="n"/>
      <c r="O21" s="24" t="n"/>
      <c r="P21" s="24" t="n"/>
      <c r="Q21" s="23" t="n"/>
      <c r="R21" s="25">
        <f>IF(C21="","",C21*D21*E21)</f>
        <v/>
      </c>
      <c r="S21" s="25">
        <f>IF(C21="","",F21+G21+H21+I21+J21+K21+L21+M21)</f>
        <v/>
      </c>
      <c r="T21" s="25">
        <f>IF(C21="","",(R21+S21)*N21)</f>
        <v/>
      </c>
      <c r="U21" s="25">
        <f>IF(C21="","",R21+S21+T21)</f>
        <v/>
      </c>
      <c r="V21" s="25">
        <f>IF(C21="","",IFERROR(U21/(1-O21),0))</f>
        <v/>
      </c>
      <c r="W21" s="25">
        <f>IF(C21="","",CEILING(V21,10))</f>
        <v/>
      </c>
      <c r="X21" s="25">
        <f>IF(C21="","",W21*(1+P21))</f>
        <v/>
      </c>
      <c r="Y21" s="25">
        <f>IF(C21="","",IF(Q21&gt;0,Q21,W21))</f>
        <v/>
      </c>
      <c r="Z21" s="25">
        <f>IF(C21="","",Y21-U21)</f>
        <v/>
      </c>
      <c r="AA21" s="26">
        <f>IF(C21="","",IFERROR(Z21/Y21,0))</f>
        <v/>
      </c>
      <c r="AB21" s="26">
        <f>IF(C21="","",IFERROR(Z21/U21,0))</f>
        <v/>
      </c>
      <c r="AC21" s="22">
        <f>IF(C21="","",IF(U21=0,"-",IF(AA21&gt;=O21*0.9,"עבודה רווחית",IF(AA21&gt;=0,"גבולית","לא רווחית"))))</f>
        <v/>
      </c>
      <c r="AD21" s="22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4" t="n"/>
      <c r="O22" s="24" t="n"/>
      <c r="P22" s="24" t="n"/>
      <c r="Q22" s="23" t="n"/>
      <c r="R22" s="25">
        <f>IF(C22="","",C22*D22*E22)</f>
        <v/>
      </c>
      <c r="S22" s="25">
        <f>IF(C22="","",F22+G22+H22+I22+J22+K22+L22+M22)</f>
        <v/>
      </c>
      <c r="T22" s="25">
        <f>IF(C22="","",(R22+S22)*N22)</f>
        <v/>
      </c>
      <c r="U22" s="25">
        <f>IF(C22="","",R22+S22+T22)</f>
        <v/>
      </c>
      <c r="V22" s="25">
        <f>IF(C22="","",IFERROR(U22/(1-O22),0))</f>
        <v/>
      </c>
      <c r="W22" s="25">
        <f>IF(C22="","",CEILING(V22,10))</f>
        <v/>
      </c>
      <c r="X22" s="25">
        <f>IF(C22="","",W22*(1+P22))</f>
        <v/>
      </c>
      <c r="Y22" s="25">
        <f>IF(C22="","",IF(Q22&gt;0,Q22,W22))</f>
        <v/>
      </c>
      <c r="Z22" s="25">
        <f>IF(C22="","",Y22-U22)</f>
        <v/>
      </c>
      <c r="AA22" s="26">
        <f>IF(C22="","",IFERROR(Z22/Y22,0))</f>
        <v/>
      </c>
      <c r="AB22" s="26">
        <f>IF(C22="","",IFERROR(Z22/U22,0))</f>
        <v/>
      </c>
      <c r="AC22" s="22">
        <f>IF(C22="","",IF(U22=0,"-",IF(AA22&gt;=O22*0.9,"עבודה רווחית",IF(AA22&gt;=0,"גבולית","לא רווחית"))))</f>
        <v/>
      </c>
      <c r="AD22" s="22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4" t="n"/>
      <c r="O23" s="24" t="n"/>
      <c r="P23" s="24" t="n"/>
      <c r="Q23" s="23" t="n"/>
      <c r="R23" s="25">
        <f>IF(C23="","",C23*D23*E23)</f>
        <v/>
      </c>
      <c r="S23" s="25">
        <f>IF(C23="","",F23+G23+H23+I23+J23+K23+L23+M23)</f>
        <v/>
      </c>
      <c r="T23" s="25">
        <f>IF(C23="","",(R23+S23)*N23)</f>
        <v/>
      </c>
      <c r="U23" s="25">
        <f>IF(C23="","",R23+S23+T23)</f>
        <v/>
      </c>
      <c r="V23" s="25">
        <f>IF(C23="","",IFERROR(U23/(1-O23),0))</f>
        <v/>
      </c>
      <c r="W23" s="25">
        <f>IF(C23="","",CEILING(V23,10))</f>
        <v/>
      </c>
      <c r="X23" s="25">
        <f>IF(C23="","",W23*(1+P23))</f>
        <v/>
      </c>
      <c r="Y23" s="25">
        <f>IF(C23="","",IF(Q23&gt;0,Q23,W23))</f>
        <v/>
      </c>
      <c r="Z23" s="25">
        <f>IF(C23="","",Y23-U23)</f>
        <v/>
      </c>
      <c r="AA23" s="26">
        <f>IF(C23="","",IFERROR(Z23/Y23,0))</f>
        <v/>
      </c>
      <c r="AB23" s="26">
        <f>IF(C23="","",IFERROR(Z23/U23,0))</f>
        <v/>
      </c>
      <c r="AC23" s="22">
        <f>IF(C23="","",IF(U23=0,"-",IF(AA23&gt;=O23*0.9,"עבודה רווחית",IF(AA23&gt;=0,"גבולית","לא רווחית"))))</f>
        <v/>
      </c>
      <c r="AD23" s="22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4" t="n"/>
      <c r="O24" s="24" t="n"/>
      <c r="P24" s="24" t="n"/>
      <c r="Q24" s="23" t="n"/>
      <c r="R24" s="25">
        <f>IF(C24="","",C24*D24*E24)</f>
        <v/>
      </c>
      <c r="S24" s="25">
        <f>IF(C24="","",F24+G24+H24+I24+J24+K24+L24+M24)</f>
        <v/>
      </c>
      <c r="T24" s="25">
        <f>IF(C24="","",(R24+S24)*N24)</f>
        <v/>
      </c>
      <c r="U24" s="25">
        <f>IF(C24="","",R24+S24+T24)</f>
        <v/>
      </c>
      <c r="V24" s="25">
        <f>IF(C24="","",IFERROR(U24/(1-O24),0))</f>
        <v/>
      </c>
      <c r="W24" s="25">
        <f>IF(C24="","",CEILING(V24,10))</f>
        <v/>
      </c>
      <c r="X24" s="25">
        <f>IF(C24="","",W24*(1+P24))</f>
        <v/>
      </c>
      <c r="Y24" s="25">
        <f>IF(C24="","",IF(Q24&gt;0,Q24,W24))</f>
        <v/>
      </c>
      <c r="Z24" s="25">
        <f>IF(C24="","",Y24-U24)</f>
        <v/>
      </c>
      <c r="AA24" s="26">
        <f>IF(C24="","",IFERROR(Z24/Y24,0))</f>
        <v/>
      </c>
      <c r="AB24" s="26">
        <f>IF(C24="","",IFERROR(Z24/U24,0))</f>
        <v/>
      </c>
      <c r="AC24" s="22">
        <f>IF(C24="","",IF(U24=0,"-",IF(AA24&gt;=O24*0.9,"עבודה רווחית",IF(AA24&gt;=0,"גבולית","לא רווחית"))))</f>
        <v/>
      </c>
      <c r="AD24" s="22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4" t="n"/>
      <c r="O25" s="24" t="n"/>
      <c r="P25" s="24" t="n"/>
      <c r="Q25" s="23" t="n"/>
      <c r="R25" s="25">
        <f>IF(C25="","",C25*D25*E25)</f>
        <v/>
      </c>
      <c r="S25" s="25">
        <f>IF(C25="","",F25+G25+H25+I25+J25+K25+L25+M25)</f>
        <v/>
      </c>
      <c r="T25" s="25">
        <f>IF(C25="","",(R25+S25)*N25)</f>
        <v/>
      </c>
      <c r="U25" s="25">
        <f>IF(C25="","",R25+S25+T25)</f>
        <v/>
      </c>
      <c r="V25" s="25">
        <f>IF(C25="","",IFERROR(U25/(1-O25),0))</f>
        <v/>
      </c>
      <c r="W25" s="25">
        <f>IF(C25="","",CEILING(V25,10))</f>
        <v/>
      </c>
      <c r="X25" s="25">
        <f>IF(C25="","",W25*(1+P25))</f>
        <v/>
      </c>
      <c r="Y25" s="25">
        <f>IF(C25="","",IF(Q25&gt;0,Q25,W25))</f>
        <v/>
      </c>
      <c r="Z25" s="25">
        <f>IF(C25="","",Y25-U25)</f>
        <v/>
      </c>
      <c r="AA25" s="26">
        <f>IF(C25="","",IFERROR(Z25/Y25,0))</f>
        <v/>
      </c>
      <c r="AB25" s="26">
        <f>IF(C25="","",IFERROR(Z25/U25,0))</f>
        <v/>
      </c>
      <c r="AC25" s="22">
        <f>IF(C25="","",IF(U25=0,"-",IF(AA25&gt;=O25*0.9,"עבודה רווחית",IF(AA25&gt;=0,"גבולית","לא רווחית"))))</f>
        <v/>
      </c>
      <c r="AD25" s="22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4" t="n"/>
      <c r="O26" s="24" t="n"/>
      <c r="P26" s="24" t="n"/>
      <c r="Q26" s="23" t="n"/>
      <c r="R26" s="25">
        <f>IF(C26="","",C26*D26*E26)</f>
        <v/>
      </c>
      <c r="S26" s="25">
        <f>IF(C26="","",F26+G26+H26+I26+J26+K26+L26+M26)</f>
        <v/>
      </c>
      <c r="T26" s="25">
        <f>IF(C26="","",(R26+S26)*N26)</f>
        <v/>
      </c>
      <c r="U26" s="25">
        <f>IF(C26="","",R26+S26+T26)</f>
        <v/>
      </c>
      <c r="V26" s="25">
        <f>IF(C26="","",IFERROR(U26/(1-O26),0))</f>
        <v/>
      </c>
      <c r="W26" s="25">
        <f>IF(C26="","",CEILING(V26,10))</f>
        <v/>
      </c>
      <c r="X26" s="25">
        <f>IF(C26="","",W26*(1+P26))</f>
        <v/>
      </c>
      <c r="Y26" s="25">
        <f>IF(C26="","",IF(Q26&gt;0,Q26,W26))</f>
        <v/>
      </c>
      <c r="Z26" s="25">
        <f>IF(C26="","",Y26-U26)</f>
        <v/>
      </c>
      <c r="AA26" s="26">
        <f>IF(C26="","",IFERROR(Z26/Y26,0))</f>
        <v/>
      </c>
      <c r="AB26" s="26">
        <f>IF(C26="","",IFERROR(Z26/U26,0))</f>
        <v/>
      </c>
      <c r="AC26" s="22">
        <f>IF(C26="","",IF(U26=0,"-",IF(AA26&gt;=O26*0.9,"עבודה רווחית",IF(AA26&gt;=0,"גבולית","לא רווחית"))))</f>
        <v/>
      </c>
      <c r="AD26" s="22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4" t="n"/>
      <c r="O27" s="24" t="n"/>
      <c r="P27" s="24" t="n"/>
      <c r="Q27" s="23" t="n"/>
      <c r="R27" s="25">
        <f>IF(C27="","",C27*D27*E27)</f>
        <v/>
      </c>
      <c r="S27" s="25">
        <f>IF(C27="","",F27+G27+H27+I27+J27+K27+L27+M27)</f>
        <v/>
      </c>
      <c r="T27" s="25">
        <f>IF(C27="","",(R27+S27)*N27)</f>
        <v/>
      </c>
      <c r="U27" s="25">
        <f>IF(C27="","",R27+S27+T27)</f>
        <v/>
      </c>
      <c r="V27" s="25">
        <f>IF(C27="","",IFERROR(U27/(1-O27),0))</f>
        <v/>
      </c>
      <c r="W27" s="25">
        <f>IF(C27="","",CEILING(V27,10))</f>
        <v/>
      </c>
      <c r="X27" s="25">
        <f>IF(C27="","",W27*(1+P27))</f>
        <v/>
      </c>
      <c r="Y27" s="25">
        <f>IF(C27="","",IF(Q27&gt;0,Q27,W27))</f>
        <v/>
      </c>
      <c r="Z27" s="25">
        <f>IF(C27="","",Y27-U27)</f>
        <v/>
      </c>
      <c r="AA27" s="26">
        <f>IF(C27="","",IFERROR(Z27/Y27,0))</f>
        <v/>
      </c>
      <c r="AB27" s="26">
        <f>IF(C27="","",IFERROR(Z27/U27,0))</f>
        <v/>
      </c>
      <c r="AC27" s="22">
        <f>IF(C27="","",IF(U27=0,"-",IF(AA27&gt;=O27*0.9,"עבודה רווחית",IF(AA27&gt;=0,"גבולית","לא רווחית"))))</f>
        <v/>
      </c>
      <c r="AD27" s="22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4" t="n"/>
      <c r="O28" s="24" t="n"/>
      <c r="P28" s="24" t="n"/>
      <c r="Q28" s="23" t="n"/>
      <c r="R28" s="25">
        <f>IF(C28="","",C28*D28*E28)</f>
        <v/>
      </c>
      <c r="S28" s="25">
        <f>IF(C28="","",F28+G28+H28+I28+J28+K28+L28+M28)</f>
        <v/>
      </c>
      <c r="T28" s="25">
        <f>IF(C28="","",(R28+S28)*N28)</f>
        <v/>
      </c>
      <c r="U28" s="25">
        <f>IF(C28="","",R28+S28+T28)</f>
        <v/>
      </c>
      <c r="V28" s="25">
        <f>IF(C28="","",IFERROR(U28/(1-O28),0))</f>
        <v/>
      </c>
      <c r="W28" s="25">
        <f>IF(C28="","",CEILING(V28,10))</f>
        <v/>
      </c>
      <c r="X28" s="25">
        <f>IF(C28="","",W28*(1+P28))</f>
        <v/>
      </c>
      <c r="Y28" s="25">
        <f>IF(C28="","",IF(Q28&gt;0,Q28,W28))</f>
        <v/>
      </c>
      <c r="Z28" s="25">
        <f>IF(C28="","",Y28-U28)</f>
        <v/>
      </c>
      <c r="AA28" s="26">
        <f>IF(C28="","",IFERROR(Z28/Y28,0))</f>
        <v/>
      </c>
      <c r="AB28" s="26">
        <f>IF(C28="","",IFERROR(Z28/U28,0))</f>
        <v/>
      </c>
      <c r="AC28" s="22">
        <f>IF(C28="","",IF(U28=0,"-",IF(AA28&gt;=O28*0.9,"עבודה רווחית",IF(AA28&gt;=0,"גבולית","לא רווחית"))))</f>
        <v/>
      </c>
      <c r="AD28" s="22" t="n"/>
    </row>
  </sheetData>
  <mergeCells count="2">
    <mergeCell ref="A2:AD2"/>
    <mergeCell ref="A1:AD1"/>
  </mergeCells>
  <conditionalFormatting sqref="AC4:AC28">
    <cfRule type="expression" priority="1" dxfId="0">
      <formula>$AC4="עבודה רווחית"</formula>
    </cfRule>
    <cfRule type="expression" priority="2" dxfId="1">
      <formula>$AC4="גבולית"</formula>
    </cfRule>
    <cfRule type="expression" priority="3" dxfId="2">
      <formula>$AC4="לא רווחית"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2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7" t="inlineStr">
        <is>
          <t>1. עברו ללשונית 'שולחן עבודה' — שם נמצאת טבלת העבודה המרכזית.</t>
        </is>
      </c>
    </row>
    <row r="6" ht="34" customHeight="1">
      <c r="A6" s="27" t="inlineStr">
        <is>
          <t>2. מחקו את 5 שורות הדוגמה או השאירו אותן כהדגמה — הן מסומנות בצבע התאים הצהובים.</t>
        </is>
      </c>
    </row>
    <row r="8" ht="34" customHeight="1">
      <c r="A8" s="27" t="inlineStr">
        <is>
          <t>3. בכל שורה חדשה, מלאו רק את התאים הצהובים: שם פרויקט, לקוח, עובדים, שעות, עלות חומרים והוצאות.</t>
        </is>
      </c>
    </row>
    <row r="10" ht="34" customHeight="1">
      <c r="A10" s="27" t="inlineStr">
        <is>
          <t>4. הגדירו 'רווח יעד %' ו-'מע"מ %' לכל פרויקט — אלו קובעים את המחיר המומלץ.</t>
        </is>
      </c>
    </row>
    <row r="12" ht="34" customHeight="1">
      <c r="A12" s="27" t="inlineStr">
        <is>
          <t>5. עברו ל-לוח הבקרה כדי לראות סיכום מיידי של הרווחיות של כל העבודות שלכם.</t>
        </is>
      </c>
    </row>
    <row r="14" ht="50" customHeight="1">
      <c r="A14" s="28" t="inlineStr">
        <is>
          <t>טיפ: כל תא צהוב = תא להזנה. כל תא לבן = מחושב אוטומטית. לעולם אל תקלידו ישירות בתוך תאים לבנים. שם הפרויקט חייב להיות זהה בכל המוצרים כדי שהקישור ביניהם יעבוד.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20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2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29" t="inlineStr">
        <is>
          <t>מה זה?</t>
        </is>
      </c>
      <c r="C4" s="30" t="inlineStr">
        <is>
          <t>מחשבון תמחור ורווחיות שמראה לכם בדיוק כמה עולה לכם כל עבודה וכמה אתם צריכים לגבות כדי להרוויח.</t>
        </is>
      </c>
    </row>
    <row r="5" ht="46" customHeight="1">
      <c r="B5" s="29" t="inlineStr">
        <is>
          <t>למי זה מתאים?</t>
        </is>
      </c>
      <c r="C5" s="30" t="inlineStr">
        <is>
          <t>חשמלאים, קבלנים, שרברבים, צבעים, נגרים, מתקיני מיזוג ואוויר, וכל בעל מקצוע שמתמחר עבודות.</t>
        </is>
      </c>
    </row>
    <row r="6" ht="46" customHeight="1">
      <c r="B6" s="29" t="inlineStr">
        <is>
          <t>איזו בעיה זה פותר?</t>
        </is>
      </c>
      <c r="C6" s="30" t="inlineStr">
        <is>
          <t>תמחור על פי תחושת בטן שגורם להפסדים סמויים — עבודות שנראות טוב על הנייר אבל בפועל לא משתלמות.</t>
        </is>
      </c>
    </row>
    <row r="7" ht="46" customHeight="1">
      <c r="B7" s="29" t="inlineStr">
        <is>
          <t>איך מתחילים?</t>
        </is>
      </c>
      <c r="C7" s="30" t="inlineStr">
        <is>
          <t>מלאו שורה אחת עבור כל עבודה/פרויקט בלשונית שולחן עבודה, בתאים הצהובים בלבד.</t>
        </is>
      </c>
    </row>
    <row r="8" ht="46" customHeight="1">
      <c r="B8" s="29" t="inlineStr">
        <is>
          <t>מה צריך להזין?</t>
        </is>
      </c>
      <c r="C8" s="30" t="inlineStr">
        <is>
          <t>שם הפרויקט, לקוח, מספר עובדים, עלות שעה, שעות עבודה, עלות חומרים, כל ההוצאות הנלוות (נסיעות, דלק, חניה, קבלני משנה, ציוד, השכרות), אחוז תקורה, אחוז רווח יעד ואחוז מע"מ.</t>
        </is>
      </c>
    </row>
    <row r="9" ht="46" customHeight="1">
      <c r="B9" s="29" t="inlineStr">
        <is>
          <t>מה מחושב אוטומטית?</t>
        </is>
      </c>
      <c r="C9" s="30" t="inlineStr">
        <is>
          <t>עלות עבודה, עלות ישירה, תקורה בש"ח, עלות כוללת, מחיר מינימום, מחיר מומלץ (כולל ובלי מע"מ), רווח בש"ח, רווח % (Margin), Markup % וסטטוס רווחיות.</t>
        </is>
      </c>
    </row>
    <row r="10" ht="46" customHeight="1">
      <c r="B10" s="29" t="inlineStr">
        <is>
          <t>מה לוח הבקרה מציג?</t>
        </is>
      </c>
      <c r="C10" s="30" t="inlineStr">
        <is>
          <t>מספר פרויקטים כולל, סך רווח, רווח ממוצע, וכמות עבודות רווחיות/גבוליות/לא רווחיות, בתוספת התראות עסקיות.</t>
        </is>
      </c>
    </row>
    <row r="11" ht="46" customHeight="1">
      <c r="B11" s="29" t="inlineStr">
        <is>
          <t>Margin מול Markup — מה ההבדל?</t>
        </is>
      </c>
      <c r="C11" s="30" t="inlineStr">
        <is>
          <t>Margin = רווח חלקי מחיר המכירה. Markup = רווח חלקי עלות. שני המספרים חשובים אך אומרים דברים שונים — Margin אומר כמה מכל שקל שנכנס נשאר רווח, Markup אומר באיזה אחוז העלינו את המחיר מעל העלות.</t>
        </is>
      </c>
    </row>
    <row r="12" ht="46" customHeight="1">
      <c r="B12" s="29" t="inlineStr">
        <is>
          <t>איך המחיר המומלץ מחושב?</t>
        </is>
      </c>
      <c r="C12" s="30" t="inlineStr">
        <is>
          <t>מחיר מינימום = עלות כוללת ÷ (1 - רווח יעד%). כך שהרווח יעד מובטח כאחוז מהמחיר הסופי, לא רק מעל העלות. המחיר המומלץ מעוגל כלפי מעלה ל-10 הקרוב לנוחות.</t>
        </is>
      </c>
    </row>
    <row r="13" ht="46" customHeight="1">
      <c r="B13" s="29" t="inlineStr">
        <is>
          <t>למה 'שם פרויקט' ולא מספר פרויקט?</t>
        </is>
      </c>
      <c r="C13" s="30" t="inlineStr">
        <is>
          <t>כל המוצרים במערכת מתחברים ביניהם לפי שם הפרויקט (למשל: 'שיפוץ מטבח - וילה כהן'). חשוב להקליד את שם הפרויקט באותו אופן בדיוק בכל מוצר שבו הוא מופיע, כדי שהחיבור בין הטבלאות יעבוד נכון.</t>
        </is>
      </c>
    </row>
    <row r="14" ht="46" customHeight="1">
      <c r="B14" s="29" t="inlineStr">
        <is>
          <t>טיפים</t>
        </is>
      </c>
      <c r="C14" s="30" t="inlineStr">
        <is>
          <t>1) קבעו רווח יעד לפי סוג העבודה — עבודות מורכבות/דחופות ראויות ליעד גבוה יותר. 2) עדכנו עלות שעה כשהיא משתנה. 3) בדקו את לוח הבקרה לפני שליחת הצעות מחיר חדשות.</t>
        </is>
      </c>
    </row>
    <row r="16">
      <c r="B16" s="31" t="inlineStr">
        <is>
          <t>שאלות נפוצות</t>
        </is>
      </c>
    </row>
    <row r="17" ht="40" customHeight="1">
      <c r="B17" s="32" t="inlineStr">
        <is>
          <t>האם זה עובד ב-Google Sheets?</t>
        </is>
      </c>
      <c r="C17" s="30" t="inlineStr">
        <is>
          <t>כן. יש להעלות את הקובץ ל-Google Drive ולפתוח עם Google Sheets. כל הנוסחאות והעיצוב המותנה נתמכים.</t>
        </is>
      </c>
    </row>
    <row r="18" ht="40" customHeight="1">
      <c r="B18" s="32" t="inlineStr">
        <is>
          <t>איך מוחקים את נתוני הדוגמה?</t>
        </is>
      </c>
      <c r="C18" s="30" t="inlineStr">
        <is>
          <t>סמנו את השורות 4-8 בלשונית שולחן עבודה, לחצו קליק ימני &gt; מחיקת שורה, או פשוט מחקו את התוכן בתאים הצהובים.</t>
        </is>
      </c>
    </row>
    <row r="19" ht="40" customHeight="1">
      <c r="B19" s="32" t="inlineStr">
        <is>
          <t>אפשר להוסיף שורות נוספות?</t>
        </is>
      </c>
      <c r="C19" s="30" t="inlineStr">
        <is>
          <t>כן, פשוט העתיקו שורה קיימת (כולל הנוסחאות) והדביקו מתחת לטבלה.</t>
        </is>
      </c>
    </row>
    <row r="20" ht="40" customHeight="1">
      <c r="B20" s="32" t="inlineStr">
        <is>
          <t>המספרים לא מתעדכנים, מה עושים?</t>
        </is>
      </c>
      <c r="C20" s="30" t="inlineStr">
        <is>
          <t>ודאו שחישוב אוטומטי פעיל בתוכנה: Excel &gt; נוסחאות &gt; אפשרויות חישוב &gt; אוטומטי.</t>
        </is>
      </c>
    </row>
  </sheetData>
  <mergeCells count="3">
    <mergeCell ref="A1:C1"/>
    <mergeCell ref="B16:C1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2026-09-13T19:32:27Z</dcterms:created>
  <dcterms:modified xsi:type="dcterms:W3CDTF">2026-09-13T19:32:27Z</dcterms:modified>
</cp:coreProperties>
</file>