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in Workspace" sheetId="2" state="visible" r:id="rId2"/>
    <sheet name="Quick Start" sheetId="3" state="visible" r:id="rId3"/>
    <sheet name="User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000000"/>
      <sz val="11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i val="1"/>
      <color rgb="0017365D"/>
      <sz val="10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5" borderId="1" applyAlignment="1" pivotButton="0" quotePrefix="0" xfId="0">
      <alignment horizontal="center" vertical="center" wrapText="1"/>
    </xf>
    <xf numFmtId="3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right" vertical="center" wrapText="1"/>
    </xf>
    <xf numFmtId="0" fontId="11" fillId="4" borderId="0" applyAlignment="1" pivotButton="0" quotePrefix="0" xfId="0">
      <alignment horizontal="right" vertical="center" wrapText="1"/>
    </xf>
    <xf numFmtId="0" fontId="11" fillId="5" borderId="0" applyAlignment="1" pivotButton="0" quotePrefix="0" xfId="0">
      <alignment horizontal="right" vertical="center" wrapText="1"/>
    </xf>
    <xf numFmtId="0" fontId="12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5" fillId="4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center" vertical="center" wrapText="1"/>
    </xf>
    <xf numFmtId="9" fontId="5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9" fontId="0" fillId="4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13" fillId="7" borderId="0" applyAlignment="1" pivotButton="0" quotePrefix="0" xfId="0">
      <alignment horizontal="right" vertical="center" wrapText="1"/>
    </xf>
    <xf numFmtId="0" fontId="14" fillId="5" borderId="0" applyAlignment="1" pivotButton="0" quotePrefix="0" xfId="0">
      <alignment horizontal="right" vertical="center" wrapText="1"/>
    </xf>
    <xf numFmtId="0" fontId="15" fillId="5" borderId="1" applyAlignment="1" pivotButton="0" quotePrefix="0" xfId="0">
      <alignment horizontal="right" vertical="center" wrapText="1"/>
    </xf>
    <xf numFmtId="0" fontId="10" fillId="2" borderId="0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ContractorOS</author>
  </authors>
  <commentList>
    <comment ref="O4" authorId="0" shapeId="0">
      <text>
        <t>הזינו כאחוז, למשל 12% (Excel יציג באחוזים)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G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4" customWidth="1" min="8" max="8"/>
  </cols>
  <sheetData>
    <row r="2" ht="46" customHeight="1">
      <c r="B2" s="1" t="inlineStr">
        <is>
          <t>Smart Pricing &amp; Profit Calculator — Dashboard</t>
        </is>
      </c>
      <c r="C2" s="2" t="n"/>
      <c r="D2" s="2" t="n"/>
      <c r="E2" s="2" t="n"/>
      <c r="F2" s="2" t="n"/>
      <c r="G2" s="2" t="n"/>
    </row>
    <row r="3" ht="22" customHeight="1">
      <c r="B3" s="3" t="inlineStr">
        <is>
          <t>ContractorOS — Know your true profit before you quote</t>
        </is>
      </c>
      <c r="C3" s="4" t="n"/>
      <c r="D3" s="4" t="n"/>
      <c r="E3" s="4" t="n"/>
      <c r="F3" s="4" t="n"/>
      <c r="G3" s="4" t="n"/>
    </row>
    <row r="5" ht="30" customHeight="1">
      <c r="B5" s="5" t="inlineStr">
        <is>
          <t>סה"כ פרויקטים</t>
        </is>
      </c>
      <c r="C5" s="5" t="inlineStr">
        <is>
          <t>סה"כ רווח (₪)</t>
        </is>
      </c>
      <c r="D5" s="5" t="inlineStr">
        <is>
          <t>רווח ממוצע %</t>
        </is>
      </c>
      <c r="E5" s="5" t="inlineStr">
        <is>
          <t>עבודות רווחיות</t>
        </is>
      </c>
      <c r="F5" s="5" t="inlineStr">
        <is>
          <t>עבודות גבוליות</t>
        </is>
      </c>
      <c r="G5" s="5" t="inlineStr">
        <is>
          <t>עבודות לא רווחיות</t>
        </is>
      </c>
    </row>
    <row r="6" ht="34" customHeight="1">
      <c r="B6" s="6">
        <f>COUNTA('Main Workspace'!D4:D28)</f>
        <v/>
      </c>
      <c r="C6" s="6">
        <f>SUM('Main Workspace'!AA4:AA28)</f>
        <v/>
      </c>
      <c r="D6" s="7">
        <f>IFERROR(AVERAGE('Main Workspace'!AB4:AB28),0)</f>
        <v/>
      </c>
      <c r="E6" s="6">
        <f>COUNTIF('Main Workspace'!AD4:AD28,"עבודה רווחית")</f>
        <v/>
      </c>
      <c r="F6" s="6">
        <f>COUNTIF('Main Workspace'!AD4:AD28,"גבולית")</f>
        <v/>
      </c>
      <c r="G6" s="6">
        <f>COUNTIF('Main Workspace'!AD4:AD28,"לא רווחית")</f>
        <v/>
      </c>
    </row>
    <row r="9" ht="26" customHeight="1">
      <c r="B9" s="8" t="inlineStr">
        <is>
          <t>⚠ Business Insights / התראות</t>
        </is>
      </c>
    </row>
    <row r="10" ht="22" customHeight="1">
      <c r="B10" s="9">
        <f>IF(COUNTIF('Main Workspace'!AD4:AD28,"לא רווחית")&gt;0,"יש "&amp;COUNTIF('Main Workspace'!AD4:AD28,"לא רווחית")&amp;" עבודות לא רווחיות — בדוק תמחור לפני שממשיכים.","אין עבודות לא רווחיות כרגע. כל הכבוד!")</f>
        <v/>
      </c>
    </row>
    <row r="11" ht="22" customHeight="1">
      <c r="B11" s="9">
        <f>IF(COUNTIF('Main Workspace'!AD4:AD28,"גבולית")&gt;0,"יש "&amp;COUNTIF('Main Workspace'!AD4:AD28,"גבולית")&amp;" עבודות גבוליות — שווה לשקול העלאת מחיר.","אין עבודות גבוליות כרגע.")</f>
        <v/>
      </c>
    </row>
    <row r="12" ht="22" customHeight="1">
      <c r="B12" s="10">
        <f>IF(AVERAGE('Main Workspace'!AB4:AB28)&lt;0.15,"הרווח הממוצע נמוך מ-15% — כדאי לבדוק את מבנה התמחור הכללי.","הרווח הממוצע בטווח בריא.")</f>
        <v/>
      </c>
    </row>
    <row r="14" ht="20" customHeight="1">
      <c r="B14" s="11" t="inlineStr">
        <is>
          <t>לשולחן העבודה המלא: לשונית Main Workspace</t>
        </is>
      </c>
    </row>
  </sheetData>
  <mergeCells count="7">
    <mergeCell ref="B3:G3"/>
    <mergeCell ref="B2:G2"/>
    <mergeCell ref="B10:G10"/>
    <mergeCell ref="B14:G14"/>
    <mergeCell ref="B9:G9"/>
    <mergeCell ref="B12:G12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AE2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11" customWidth="1" min="15" max="15"/>
    <col width="11" customWidth="1" min="16" max="16"/>
    <col width="9" customWidth="1" min="17" max="17"/>
    <col width="14" customWidth="1" min="18" max="18"/>
    <col width="14" customWidth="1" min="19" max="19"/>
    <col width="13" customWidth="1" min="20" max="20"/>
    <col width="14" customWidth="1" min="21" max="21"/>
    <col width="14" customWidth="1" min="22" max="22"/>
    <col width="14" customWidth="1" min="23" max="23"/>
    <col width="13" customWidth="1" min="24" max="24"/>
    <col width="13" customWidth="1" min="25" max="25"/>
    <col width="14" customWidth="1" min="26" max="26"/>
    <col width="13" customWidth="1" min="27" max="27"/>
    <col width="13" customWidth="1" min="28" max="28"/>
    <col width="13" customWidth="1" min="29" max="29"/>
    <col width="16" customWidth="1" min="30" max="30"/>
    <col width="16" customWidth="1" min="31" max="31"/>
  </cols>
  <sheetData>
    <row r="1" ht="44" customHeight="1">
      <c r="A1" s="12" t="inlineStr">
        <is>
          <t>מחשבון תמחור ורווחיות | Smart Pricing &amp; Profit Calculator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24" customHeight="1">
      <c r="A2" s="3" t="inlineStr">
        <is>
          <t>הזינו נתונים בתאים הצהובים בלבד — כל שאר העמודות מחושבות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</row>
    <row r="3" ht="34" customHeight="1">
      <c r="A3" s="13" t="inlineStr">
        <is>
          <t>מס' פרויקט
Project ID</t>
        </is>
      </c>
      <c r="B3" s="13" t="inlineStr">
        <is>
          <t>שם פרויקט</t>
        </is>
      </c>
      <c r="C3" s="13" t="inlineStr">
        <is>
          <t>לקוח</t>
        </is>
      </c>
      <c r="D3" s="13" t="inlineStr">
        <is>
          <t>מס' עובדים</t>
        </is>
      </c>
      <c r="E3" s="13" t="inlineStr">
        <is>
          <t>עלות שעה לעובד (₪)</t>
        </is>
      </c>
      <c r="F3" s="13" t="inlineStr">
        <is>
          <t>שעות עבודה</t>
        </is>
      </c>
      <c r="G3" s="13" t="inlineStr">
        <is>
          <t>עלות חומרים (₪)</t>
        </is>
      </c>
      <c r="H3" s="13" t="inlineStr">
        <is>
          <t>נסיעות (₪)</t>
        </is>
      </c>
      <c r="I3" s="13" t="inlineStr">
        <is>
          <t>דלק (₪)</t>
        </is>
      </c>
      <c r="J3" s="13" t="inlineStr">
        <is>
          <t>חניה (₪)</t>
        </is>
      </c>
      <c r="K3" s="13" t="inlineStr">
        <is>
          <t>קבלני משנה (₪)</t>
        </is>
      </c>
      <c r="L3" s="13" t="inlineStr">
        <is>
          <t>ציוד (₪)</t>
        </is>
      </c>
      <c r="M3" s="13" t="inlineStr">
        <is>
          <t>השכרת כלים (₪)</t>
        </is>
      </c>
      <c r="N3" s="13" t="inlineStr">
        <is>
          <t>הוצאות נוספות (₪)</t>
        </is>
      </c>
      <c r="O3" s="13" t="inlineStr">
        <is>
          <t>תקורה %</t>
        </is>
      </c>
      <c r="P3" s="13" t="inlineStr">
        <is>
          <t>רווח יעד %</t>
        </is>
      </c>
      <c r="Q3" s="13" t="inlineStr">
        <is>
          <t>מע"מ %</t>
        </is>
      </c>
      <c r="R3" s="13" t="inlineStr">
        <is>
          <t>מחיר ללקוח (אם כבר סוכם)</t>
        </is>
      </c>
      <c r="S3" s="13" t="inlineStr">
        <is>
          <t>עלות עבודה</t>
        </is>
      </c>
      <c r="T3" s="13" t="inlineStr">
        <is>
          <t>עלות ישירה</t>
        </is>
      </c>
      <c r="U3" s="13" t="inlineStr">
        <is>
          <t>תקורה בש"ח</t>
        </is>
      </c>
      <c r="V3" s="13" t="inlineStr">
        <is>
          <t>עלות כוללת</t>
        </is>
      </c>
      <c r="W3" s="13" t="inlineStr">
        <is>
          <t>מחיר מינימום</t>
        </is>
      </c>
      <c r="X3" s="13" t="inlineStr">
        <is>
          <t>מחיר מומלץ</t>
        </is>
      </c>
      <c r="Y3" s="13" t="inlineStr">
        <is>
          <t>מחיר מומלץ כולל מע"מ</t>
        </is>
      </c>
      <c r="Z3" s="13" t="inlineStr">
        <is>
          <t>מחיר בפועל</t>
        </is>
      </c>
      <c r="AA3" s="13" t="inlineStr">
        <is>
          <t>רווח בש"ח</t>
        </is>
      </c>
      <c r="AB3" s="13" t="inlineStr">
        <is>
          <t>רווח % (Margin)</t>
        </is>
      </c>
      <c r="AC3" s="13" t="inlineStr">
        <is>
          <t>Markup %</t>
        </is>
      </c>
      <c r="AD3" s="13" t="inlineStr">
        <is>
          <t>סטטוס</t>
        </is>
      </c>
      <c r="AE3" s="13" t="inlineStr">
        <is>
          <t>הערות</t>
        </is>
      </c>
    </row>
    <row r="4">
      <c r="A4" s="14" t="inlineStr">
        <is>
          <t>PRJ-0001</t>
        </is>
      </c>
      <c r="B4" s="15" t="inlineStr">
        <is>
          <t>שיפוץ מטבח - וילה כהן</t>
        </is>
      </c>
      <c r="C4" s="15" t="inlineStr">
        <is>
          <t>משפחת כהן</t>
        </is>
      </c>
      <c r="D4" s="16" t="n">
        <v>2</v>
      </c>
      <c r="E4" s="17" t="n">
        <v>90</v>
      </c>
      <c r="F4" s="16" t="n">
        <v>40</v>
      </c>
      <c r="G4" s="17" t="n">
        <v>8500</v>
      </c>
      <c r="H4" s="17" t="n">
        <v>300</v>
      </c>
      <c r="I4" s="17" t="n">
        <v>250</v>
      </c>
      <c r="J4" s="17" t="n">
        <v>80</v>
      </c>
      <c r="K4" s="17" t="n">
        <v>0</v>
      </c>
      <c r="L4" s="17" t="n">
        <v>600</v>
      </c>
      <c r="M4" s="17" t="n">
        <v>400</v>
      </c>
      <c r="N4" s="17" t="n">
        <v>350</v>
      </c>
      <c r="O4" s="18" t="n">
        <v>0.12</v>
      </c>
      <c r="P4" s="18" t="n">
        <v>0.25</v>
      </c>
      <c r="Q4" s="18" t="n">
        <v>0.17</v>
      </c>
      <c r="R4" s="17" t="inlineStr"/>
      <c r="S4" s="19">
        <f>D4*E4*F4</f>
        <v/>
      </c>
      <c r="T4" s="19">
        <f>G4+H4+I4+J4+K4+L4+M4+N4</f>
        <v/>
      </c>
      <c r="U4" s="19">
        <f>(S4+T4)*O4</f>
        <v/>
      </c>
      <c r="V4" s="19">
        <f>S4+T4+U4</f>
        <v/>
      </c>
      <c r="W4" s="19">
        <f>IFERROR(V4/(1-P4),0)</f>
        <v/>
      </c>
      <c r="X4" s="20">
        <f>CEILING(W4,10)</f>
        <v/>
      </c>
      <c r="Y4" s="19">
        <f>X4*(1+Q4)</f>
        <v/>
      </c>
      <c r="Z4" s="20">
        <f>IF(R4&gt;0,R4,X4)</f>
        <v/>
      </c>
      <c r="AA4" s="20">
        <f>Z4-V4</f>
        <v/>
      </c>
      <c r="AB4" s="21">
        <f>IFERROR(AA4/Z4,0)</f>
        <v/>
      </c>
      <c r="AC4" s="21">
        <f>IFERROR(AA4/V4,0)</f>
        <v/>
      </c>
      <c r="AD4" s="14">
        <f>IF(V4=0,"-",IF(AB4&gt;=P4*0.9,"עבודה רווחית",IF(AB4&gt;=0,"גבולית","לא רווחית")))</f>
        <v/>
      </c>
      <c r="AE4" s="22" t="inlineStr"/>
    </row>
    <row r="5">
      <c r="A5" s="14" t="inlineStr">
        <is>
          <t>PRJ-0002</t>
        </is>
      </c>
      <c r="B5" s="15" t="inlineStr">
        <is>
          <t>החלפת לוח חשמל</t>
        </is>
      </c>
      <c r="C5" s="15" t="inlineStr">
        <is>
          <t>עו"ד לוי</t>
        </is>
      </c>
      <c r="D5" s="16" t="n">
        <v>1</v>
      </c>
      <c r="E5" s="17" t="n">
        <v>110</v>
      </c>
      <c r="F5" s="16" t="n">
        <v>10</v>
      </c>
      <c r="G5" s="17" t="n">
        <v>1200</v>
      </c>
      <c r="H5" s="17" t="n">
        <v>0</v>
      </c>
      <c r="I5" s="17" t="n">
        <v>80</v>
      </c>
      <c r="J5" s="17" t="n">
        <v>0</v>
      </c>
      <c r="K5" s="17" t="n">
        <v>0</v>
      </c>
      <c r="L5" s="17" t="n">
        <v>0</v>
      </c>
      <c r="M5" s="17" t="n">
        <v>0</v>
      </c>
      <c r="N5" s="17" t="n">
        <v>100</v>
      </c>
      <c r="O5" s="18" t="n">
        <v>0.1</v>
      </c>
      <c r="P5" s="18" t="n">
        <v>0.3</v>
      </c>
      <c r="Q5" s="18" t="n">
        <v>0.17</v>
      </c>
      <c r="R5" s="17" t="n">
        <v>4200</v>
      </c>
      <c r="S5" s="19">
        <f>D5*E5*F5</f>
        <v/>
      </c>
      <c r="T5" s="19">
        <f>G5+H5+I5+J5+K5+L5+M5+N5</f>
        <v/>
      </c>
      <c r="U5" s="19">
        <f>(S5+T5)*O5</f>
        <v/>
      </c>
      <c r="V5" s="19">
        <f>S5+T5+U5</f>
        <v/>
      </c>
      <c r="W5" s="19">
        <f>IFERROR(V5/(1-P5),0)</f>
        <v/>
      </c>
      <c r="X5" s="20">
        <f>CEILING(W5,10)</f>
        <v/>
      </c>
      <c r="Y5" s="19">
        <f>X5*(1+Q5)</f>
        <v/>
      </c>
      <c r="Z5" s="20">
        <f>IF(R5&gt;0,R5,X5)</f>
        <v/>
      </c>
      <c r="AA5" s="20">
        <f>Z5-V5</f>
        <v/>
      </c>
      <c r="AB5" s="21">
        <f>IFERROR(AA5/Z5,0)</f>
        <v/>
      </c>
      <c r="AC5" s="21">
        <f>IFERROR(AA5/V5,0)</f>
        <v/>
      </c>
      <c r="AD5" s="14">
        <f>IF(V5=0,"-",IF(AB5&gt;=P5*0.9,"עבודה רווחית",IF(AB5&gt;=0,"גבולית","לא רווחית")))</f>
        <v/>
      </c>
      <c r="AE5" s="22" t="inlineStr"/>
    </row>
    <row r="6">
      <c r="A6" s="14" t="inlineStr">
        <is>
          <t>PRJ-0003</t>
        </is>
      </c>
      <c r="B6" s="15" t="inlineStr">
        <is>
          <t>התקנת מיזוג 3 יח'</t>
        </is>
      </c>
      <c r="C6" s="15" t="inlineStr">
        <is>
          <t>מסעדת האורן</t>
        </is>
      </c>
      <c r="D6" s="16" t="n">
        <v>2</v>
      </c>
      <c r="E6" s="17" t="n">
        <v>95</v>
      </c>
      <c r="F6" s="16" t="n">
        <v>16</v>
      </c>
      <c r="G6" s="17" t="n">
        <v>3200</v>
      </c>
      <c r="H6" s="17" t="n">
        <v>150</v>
      </c>
      <c r="I6" s="17" t="n">
        <v>180</v>
      </c>
      <c r="J6" s="17" t="n">
        <v>40</v>
      </c>
      <c r="K6" s="17" t="n">
        <v>1500</v>
      </c>
      <c r="L6" s="17" t="n">
        <v>300</v>
      </c>
      <c r="M6" s="17" t="n">
        <v>0</v>
      </c>
      <c r="N6" s="17" t="n">
        <v>200</v>
      </c>
      <c r="O6" s="18" t="n">
        <v>0.15</v>
      </c>
      <c r="P6" s="18" t="n">
        <v>0.2</v>
      </c>
      <c r="Q6" s="18" t="n">
        <v>0.17</v>
      </c>
      <c r="R6" s="17" t="inlineStr"/>
      <c r="S6" s="19">
        <f>D6*E6*F6</f>
        <v/>
      </c>
      <c r="T6" s="19">
        <f>G6+H6+I6+J6+K6+L6+M6+N6</f>
        <v/>
      </c>
      <c r="U6" s="19">
        <f>(S6+T6)*O6</f>
        <v/>
      </c>
      <c r="V6" s="19">
        <f>S6+T6+U6</f>
        <v/>
      </c>
      <c r="W6" s="19">
        <f>IFERROR(V6/(1-P6),0)</f>
        <v/>
      </c>
      <c r="X6" s="20">
        <f>CEILING(W6,10)</f>
        <v/>
      </c>
      <c r="Y6" s="19">
        <f>X6*(1+Q6)</f>
        <v/>
      </c>
      <c r="Z6" s="20">
        <f>IF(R6&gt;0,R6,X6)</f>
        <v/>
      </c>
      <c r="AA6" s="20">
        <f>Z6-V6</f>
        <v/>
      </c>
      <c r="AB6" s="21">
        <f>IFERROR(AA6/Z6,0)</f>
        <v/>
      </c>
      <c r="AC6" s="21">
        <f>IFERROR(AA6/V6,0)</f>
        <v/>
      </c>
      <c r="AD6" s="14">
        <f>IF(V6=0,"-",IF(AB6&gt;=P6*0.9,"עבודה רווחית",IF(AB6&gt;=0,"גבולית","לא רווחית")))</f>
        <v/>
      </c>
      <c r="AE6" s="22" t="inlineStr"/>
    </row>
    <row r="7">
      <c r="A7" s="14" t="inlineStr">
        <is>
          <t>PRJ-0004</t>
        </is>
      </c>
      <c r="B7" s="15" t="inlineStr">
        <is>
          <t>איטום גג</t>
        </is>
      </c>
      <c r="C7" s="15" t="inlineStr">
        <is>
          <t>בניין משותף רוטשילד</t>
        </is>
      </c>
      <c r="D7" s="16" t="n">
        <v>3</v>
      </c>
      <c r="E7" s="17" t="n">
        <v>85</v>
      </c>
      <c r="F7" s="16" t="n">
        <v>24</v>
      </c>
      <c r="G7" s="17" t="n">
        <v>4100</v>
      </c>
      <c r="H7" s="17" t="n">
        <v>200</v>
      </c>
      <c r="I7" s="17" t="n">
        <v>300</v>
      </c>
      <c r="J7" s="17" t="n">
        <v>60</v>
      </c>
      <c r="K7" s="17" t="n">
        <v>0</v>
      </c>
      <c r="L7" s="17" t="n">
        <v>450</v>
      </c>
      <c r="M7" s="17" t="n">
        <v>250</v>
      </c>
      <c r="N7" s="17" t="n">
        <v>300</v>
      </c>
      <c r="O7" s="18" t="n">
        <v>0.12</v>
      </c>
      <c r="P7" s="18" t="n">
        <v>0.22</v>
      </c>
      <c r="Q7" s="18" t="n">
        <v>0.17</v>
      </c>
      <c r="R7" s="17" t="inlineStr"/>
      <c r="S7" s="19">
        <f>D7*E7*F7</f>
        <v/>
      </c>
      <c r="T7" s="19">
        <f>G7+H7+I7+J7+K7+L7+M7+N7</f>
        <v/>
      </c>
      <c r="U7" s="19">
        <f>(S7+T7)*O7</f>
        <v/>
      </c>
      <c r="V7" s="19">
        <f>S7+T7+U7</f>
        <v/>
      </c>
      <c r="W7" s="19">
        <f>IFERROR(V7/(1-P7),0)</f>
        <v/>
      </c>
      <c r="X7" s="20">
        <f>CEILING(W7,10)</f>
        <v/>
      </c>
      <c r="Y7" s="19">
        <f>X7*(1+Q7)</f>
        <v/>
      </c>
      <c r="Z7" s="20">
        <f>IF(R7&gt;0,R7,X7)</f>
        <v/>
      </c>
      <c r="AA7" s="20">
        <f>Z7-V7</f>
        <v/>
      </c>
      <c r="AB7" s="21">
        <f>IFERROR(AA7/Z7,0)</f>
        <v/>
      </c>
      <c r="AC7" s="21">
        <f>IFERROR(AA7/V7,0)</f>
        <v/>
      </c>
      <c r="AD7" s="14">
        <f>IF(V7=0,"-",IF(AB7&gt;=P7*0.9,"עבודה רווחית",IF(AB7&gt;=0,"גבולית","לא רווחית")))</f>
        <v/>
      </c>
      <c r="AE7" s="22" t="inlineStr"/>
    </row>
    <row r="8">
      <c r="A8" s="14" t="inlineStr">
        <is>
          <t>PRJ-0005</t>
        </is>
      </c>
      <c r="B8" s="15" t="inlineStr">
        <is>
          <t>ריצוף חדר אמבטיה</t>
        </is>
      </c>
      <c r="C8" s="15" t="inlineStr">
        <is>
          <t>דירת גורן</t>
        </is>
      </c>
      <c r="D8" s="16" t="n">
        <v>2</v>
      </c>
      <c r="E8" s="17" t="n">
        <v>90</v>
      </c>
      <c r="F8" s="16" t="n">
        <v>20</v>
      </c>
      <c r="G8" s="17" t="n">
        <v>2600</v>
      </c>
      <c r="H8" s="17" t="n">
        <v>100</v>
      </c>
      <c r="I8" s="17" t="n">
        <v>150</v>
      </c>
      <c r="J8" s="17" t="n">
        <v>30</v>
      </c>
      <c r="K8" s="17" t="n">
        <v>0</v>
      </c>
      <c r="L8" s="17" t="n">
        <v>0</v>
      </c>
      <c r="M8" s="17" t="n">
        <v>0</v>
      </c>
      <c r="N8" s="17" t="n">
        <v>150</v>
      </c>
      <c r="O8" s="18" t="n">
        <v>0.1</v>
      </c>
      <c r="P8" s="18" t="n">
        <v>0.28</v>
      </c>
      <c r="Q8" s="18" t="n">
        <v>0.17</v>
      </c>
      <c r="R8" s="17" t="n">
        <v>7500</v>
      </c>
      <c r="S8" s="19">
        <f>D8*E8*F8</f>
        <v/>
      </c>
      <c r="T8" s="19">
        <f>G8+H8+I8+J8+K8+L8+M8+N8</f>
        <v/>
      </c>
      <c r="U8" s="19">
        <f>(S8+T8)*O8</f>
        <v/>
      </c>
      <c r="V8" s="19">
        <f>S8+T8+U8</f>
        <v/>
      </c>
      <c r="W8" s="19">
        <f>IFERROR(V8/(1-P8),0)</f>
        <v/>
      </c>
      <c r="X8" s="20">
        <f>CEILING(W8,10)</f>
        <v/>
      </c>
      <c r="Y8" s="19">
        <f>X8*(1+Q8)</f>
        <v/>
      </c>
      <c r="Z8" s="20">
        <f>IF(R8&gt;0,R8,X8)</f>
        <v/>
      </c>
      <c r="AA8" s="20">
        <f>Z8-V8</f>
        <v/>
      </c>
      <c r="AB8" s="21">
        <f>IFERROR(AA8/Z8,0)</f>
        <v/>
      </c>
      <c r="AC8" s="21">
        <f>IFERROR(AA8/V8,0)</f>
        <v/>
      </c>
      <c r="AD8" s="14">
        <f>IF(V8=0,"-",IF(AB8&gt;=P8*0.9,"עבודה רווחית",IF(AB8&gt;=0,"גבולית","לא רווחית")))</f>
        <v/>
      </c>
      <c r="AE8" s="22" t="inlineStr"/>
    </row>
    <row r="9">
      <c r="A9" s="22" t="n"/>
      <c r="B9" s="22" t="n"/>
      <c r="C9" s="22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4" t="n"/>
      <c r="P9" s="24" t="n"/>
      <c r="Q9" s="24" t="n"/>
      <c r="R9" s="23" t="n"/>
      <c r="S9" s="25">
        <f>IF(D9="","",D9*E9*F9)</f>
        <v/>
      </c>
      <c r="T9" s="25">
        <f>IF(D9="","",G9+H9+I9+J9+K9+L9+M9+N9)</f>
        <v/>
      </c>
      <c r="U9" s="25">
        <f>IF(D9="","",(S9+T9)*O9)</f>
        <v/>
      </c>
      <c r="V9" s="25">
        <f>IF(D9="","",S9+T9+U9)</f>
        <v/>
      </c>
      <c r="W9" s="25">
        <f>IF(D9="","",IFERROR(V9/(1-P9),0))</f>
        <v/>
      </c>
      <c r="X9" s="25">
        <f>IF(D9="","",CEILING(W9,10))</f>
        <v/>
      </c>
      <c r="Y9" s="25">
        <f>IF(D9="","",X9*(1+Q9))</f>
        <v/>
      </c>
      <c r="Z9" s="25">
        <f>IF(D9="","",IF(R9&gt;0,R9,X9))</f>
        <v/>
      </c>
      <c r="AA9" s="25">
        <f>IF(D9="","",Z9-V9)</f>
        <v/>
      </c>
      <c r="AB9" s="26">
        <f>IF(D9="","",IFERROR(AA9/Z9,0))</f>
        <v/>
      </c>
      <c r="AC9" s="26">
        <f>IF(D9="","",IFERROR(AA9/V9,0))</f>
        <v/>
      </c>
      <c r="AD9" s="22">
        <f>IF(D9="","",IF(V9=0,"-",IF(AB9&gt;=P9*0.9,"עבודה רווחית",IF(AB9&gt;=0,"גבולית","לא רווחית"))))</f>
        <v/>
      </c>
      <c r="AE9" s="22" t="n"/>
    </row>
    <row r="10">
      <c r="A10" s="22" t="n"/>
      <c r="B10" s="22" t="n"/>
      <c r="C10" s="22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4" t="n"/>
      <c r="P10" s="24" t="n"/>
      <c r="Q10" s="24" t="n"/>
      <c r="R10" s="23" t="n"/>
      <c r="S10" s="25">
        <f>IF(D10="","",D10*E10*F10)</f>
        <v/>
      </c>
      <c r="T10" s="25">
        <f>IF(D10="","",G10+H10+I10+J10+K10+L10+M10+N10)</f>
        <v/>
      </c>
      <c r="U10" s="25">
        <f>IF(D10="","",(S10+T10)*O10)</f>
        <v/>
      </c>
      <c r="V10" s="25">
        <f>IF(D10="","",S10+T10+U10)</f>
        <v/>
      </c>
      <c r="W10" s="25">
        <f>IF(D10="","",IFERROR(V10/(1-P10),0))</f>
        <v/>
      </c>
      <c r="X10" s="25">
        <f>IF(D10="","",CEILING(W10,10))</f>
        <v/>
      </c>
      <c r="Y10" s="25">
        <f>IF(D10="","",X10*(1+Q10))</f>
        <v/>
      </c>
      <c r="Z10" s="25">
        <f>IF(D10="","",IF(R10&gt;0,R10,X10))</f>
        <v/>
      </c>
      <c r="AA10" s="25">
        <f>IF(D10="","",Z10-V10)</f>
        <v/>
      </c>
      <c r="AB10" s="26">
        <f>IF(D10="","",IFERROR(AA10/Z10,0))</f>
        <v/>
      </c>
      <c r="AC10" s="26">
        <f>IF(D10="","",IFERROR(AA10/V10,0))</f>
        <v/>
      </c>
      <c r="AD10" s="22">
        <f>IF(D10="","",IF(V10=0,"-",IF(AB10&gt;=P10*0.9,"עבודה רווחית",IF(AB10&gt;=0,"גבולית","לא רווחית"))))</f>
        <v/>
      </c>
      <c r="AE10" s="22" t="n"/>
    </row>
    <row r="11">
      <c r="A11" s="22" t="n"/>
      <c r="B11" s="22" t="n"/>
      <c r="C11" s="22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4" t="n"/>
      <c r="P11" s="24" t="n"/>
      <c r="Q11" s="24" t="n"/>
      <c r="R11" s="23" t="n"/>
      <c r="S11" s="25">
        <f>IF(D11="","",D11*E11*F11)</f>
        <v/>
      </c>
      <c r="T11" s="25">
        <f>IF(D11="","",G11+H11+I11+J11+K11+L11+M11+N11)</f>
        <v/>
      </c>
      <c r="U11" s="25">
        <f>IF(D11="","",(S11+T11)*O11)</f>
        <v/>
      </c>
      <c r="V11" s="25">
        <f>IF(D11="","",S11+T11+U11)</f>
        <v/>
      </c>
      <c r="W11" s="25">
        <f>IF(D11="","",IFERROR(V11/(1-P11),0))</f>
        <v/>
      </c>
      <c r="X11" s="25">
        <f>IF(D11="","",CEILING(W11,10))</f>
        <v/>
      </c>
      <c r="Y11" s="25">
        <f>IF(D11="","",X11*(1+Q11))</f>
        <v/>
      </c>
      <c r="Z11" s="25">
        <f>IF(D11="","",IF(R11&gt;0,R11,X11))</f>
        <v/>
      </c>
      <c r="AA11" s="25">
        <f>IF(D11="","",Z11-V11)</f>
        <v/>
      </c>
      <c r="AB11" s="26">
        <f>IF(D11="","",IFERROR(AA11/Z11,0))</f>
        <v/>
      </c>
      <c r="AC11" s="26">
        <f>IF(D11="","",IFERROR(AA11/V11,0))</f>
        <v/>
      </c>
      <c r="AD11" s="22">
        <f>IF(D11="","",IF(V11=0,"-",IF(AB11&gt;=P11*0.9,"עבודה רווחית",IF(AB11&gt;=0,"גבולית","לא רווחית"))))</f>
        <v/>
      </c>
      <c r="AE11" s="22" t="n"/>
    </row>
    <row r="12">
      <c r="A12" s="22" t="n"/>
      <c r="B12" s="22" t="n"/>
      <c r="C12" s="22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4" t="n"/>
      <c r="P12" s="24" t="n"/>
      <c r="Q12" s="24" t="n"/>
      <c r="R12" s="23" t="n"/>
      <c r="S12" s="25">
        <f>IF(D12="","",D12*E12*F12)</f>
        <v/>
      </c>
      <c r="T12" s="25">
        <f>IF(D12="","",G12+H12+I12+J12+K12+L12+M12+N12)</f>
        <v/>
      </c>
      <c r="U12" s="25">
        <f>IF(D12="","",(S12+T12)*O12)</f>
        <v/>
      </c>
      <c r="V12" s="25">
        <f>IF(D12="","",S12+T12+U12)</f>
        <v/>
      </c>
      <c r="W12" s="25">
        <f>IF(D12="","",IFERROR(V12/(1-P12),0))</f>
        <v/>
      </c>
      <c r="X12" s="25">
        <f>IF(D12="","",CEILING(W12,10))</f>
        <v/>
      </c>
      <c r="Y12" s="25">
        <f>IF(D12="","",X12*(1+Q12))</f>
        <v/>
      </c>
      <c r="Z12" s="25">
        <f>IF(D12="","",IF(R12&gt;0,R12,X12))</f>
        <v/>
      </c>
      <c r="AA12" s="25">
        <f>IF(D12="","",Z12-V12)</f>
        <v/>
      </c>
      <c r="AB12" s="26">
        <f>IF(D12="","",IFERROR(AA12/Z12,0))</f>
        <v/>
      </c>
      <c r="AC12" s="26">
        <f>IF(D12="","",IFERROR(AA12/V12,0))</f>
        <v/>
      </c>
      <c r="AD12" s="22">
        <f>IF(D12="","",IF(V12=0,"-",IF(AB12&gt;=P12*0.9,"עבודה רווחית",IF(AB12&gt;=0,"גבולית","לא רווחית"))))</f>
        <v/>
      </c>
      <c r="AE12" s="22" t="n"/>
    </row>
    <row r="13">
      <c r="A13" s="22" t="n"/>
      <c r="B13" s="22" t="n"/>
      <c r="C13" s="22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4" t="n"/>
      <c r="P13" s="24" t="n"/>
      <c r="Q13" s="24" t="n"/>
      <c r="R13" s="23" t="n"/>
      <c r="S13" s="25">
        <f>IF(D13="","",D13*E13*F13)</f>
        <v/>
      </c>
      <c r="T13" s="25">
        <f>IF(D13="","",G13+H13+I13+J13+K13+L13+M13+N13)</f>
        <v/>
      </c>
      <c r="U13" s="25">
        <f>IF(D13="","",(S13+T13)*O13)</f>
        <v/>
      </c>
      <c r="V13" s="25">
        <f>IF(D13="","",S13+T13+U13)</f>
        <v/>
      </c>
      <c r="W13" s="25">
        <f>IF(D13="","",IFERROR(V13/(1-P13),0))</f>
        <v/>
      </c>
      <c r="X13" s="25">
        <f>IF(D13="","",CEILING(W13,10))</f>
        <v/>
      </c>
      <c r="Y13" s="25">
        <f>IF(D13="","",X13*(1+Q13))</f>
        <v/>
      </c>
      <c r="Z13" s="25">
        <f>IF(D13="","",IF(R13&gt;0,R13,X13))</f>
        <v/>
      </c>
      <c r="AA13" s="25">
        <f>IF(D13="","",Z13-V13)</f>
        <v/>
      </c>
      <c r="AB13" s="26">
        <f>IF(D13="","",IFERROR(AA13/Z13,0))</f>
        <v/>
      </c>
      <c r="AC13" s="26">
        <f>IF(D13="","",IFERROR(AA13/V13,0))</f>
        <v/>
      </c>
      <c r="AD13" s="22">
        <f>IF(D13="","",IF(V13=0,"-",IF(AB13&gt;=P13*0.9,"עבודה רווחית",IF(AB13&gt;=0,"גבולית","לא רווחית"))))</f>
        <v/>
      </c>
      <c r="AE13" s="22" t="n"/>
    </row>
    <row r="14">
      <c r="A14" s="22" t="n"/>
      <c r="B14" s="22" t="n"/>
      <c r="C14" s="22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4" t="n"/>
      <c r="P14" s="24" t="n"/>
      <c r="Q14" s="24" t="n"/>
      <c r="R14" s="23" t="n"/>
      <c r="S14" s="25">
        <f>IF(D14="","",D14*E14*F14)</f>
        <v/>
      </c>
      <c r="T14" s="25">
        <f>IF(D14="","",G14+H14+I14+J14+K14+L14+M14+N14)</f>
        <v/>
      </c>
      <c r="U14" s="25">
        <f>IF(D14="","",(S14+T14)*O14)</f>
        <v/>
      </c>
      <c r="V14" s="25">
        <f>IF(D14="","",S14+T14+U14)</f>
        <v/>
      </c>
      <c r="W14" s="25">
        <f>IF(D14="","",IFERROR(V14/(1-P14),0))</f>
        <v/>
      </c>
      <c r="X14" s="25">
        <f>IF(D14="","",CEILING(W14,10))</f>
        <v/>
      </c>
      <c r="Y14" s="25">
        <f>IF(D14="","",X14*(1+Q14))</f>
        <v/>
      </c>
      <c r="Z14" s="25">
        <f>IF(D14="","",IF(R14&gt;0,R14,X14))</f>
        <v/>
      </c>
      <c r="AA14" s="25">
        <f>IF(D14="","",Z14-V14)</f>
        <v/>
      </c>
      <c r="AB14" s="26">
        <f>IF(D14="","",IFERROR(AA14/Z14,0))</f>
        <v/>
      </c>
      <c r="AC14" s="26">
        <f>IF(D14="","",IFERROR(AA14/V14,0))</f>
        <v/>
      </c>
      <c r="AD14" s="22">
        <f>IF(D14="","",IF(V14=0,"-",IF(AB14&gt;=P14*0.9,"עבודה רווחית",IF(AB14&gt;=0,"גבולית","לא רווחית"))))</f>
        <v/>
      </c>
      <c r="AE14" s="22" t="n"/>
    </row>
    <row r="15">
      <c r="A15" s="22" t="n"/>
      <c r="B15" s="22" t="n"/>
      <c r="C15" s="22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4" t="n"/>
      <c r="P15" s="24" t="n"/>
      <c r="Q15" s="24" t="n"/>
      <c r="R15" s="23" t="n"/>
      <c r="S15" s="25">
        <f>IF(D15="","",D15*E15*F15)</f>
        <v/>
      </c>
      <c r="T15" s="25">
        <f>IF(D15="","",G15+H15+I15+J15+K15+L15+M15+N15)</f>
        <v/>
      </c>
      <c r="U15" s="25">
        <f>IF(D15="","",(S15+T15)*O15)</f>
        <v/>
      </c>
      <c r="V15" s="25">
        <f>IF(D15="","",S15+T15+U15)</f>
        <v/>
      </c>
      <c r="W15" s="25">
        <f>IF(D15="","",IFERROR(V15/(1-P15),0))</f>
        <v/>
      </c>
      <c r="X15" s="25">
        <f>IF(D15="","",CEILING(W15,10))</f>
        <v/>
      </c>
      <c r="Y15" s="25">
        <f>IF(D15="","",X15*(1+Q15))</f>
        <v/>
      </c>
      <c r="Z15" s="25">
        <f>IF(D15="","",IF(R15&gt;0,R15,X15))</f>
        <v/>
      </c>
      <c r="AA15" s="25">
        <f>IF(D15="","",Z15-V15)</f>
        <v/>
      </c>
      <c r="AB15" s="26">
        <f>IF(D15="","",IFERROR(AA15/Z15,0))</f>
        <v/>
      </c>
      <c r="AC15" s="26">
        <f>IF(D15="","",IFERROR(AA15/V15,0))</f>
        <v/>
      </c>
      <c r="AD15" s="22">
        <f>IF(D15="","",IF(V15=0,"-",IF(AB15&gt;=P15*0.9,"עבודה רווחית",IF(AB15&gt;=0,"גבולית","לא רווחית"))))</f>
        <v/>
      </c>
      <c r="AE15" s="22" t="n"/>
    </row>
    <row r="16">
      <c r="A16" s="22" t="n"/>
      <c r="B16" s="22" t="n"/>
      <c r="C16" s="22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4" t="n"/>
      <c r="P16" s="24" t="n"/>
      <c r="Q16" s="24" t="n"/>
      <c r="R16" s="23" t="n"/>
      <c r="S16" s="25">
        <f>IF(D16="","",D16*E16*F16)</f>
        <v/>
      </c>
      <c r="T16" s="25">
        <f>IF(D16="","",G16+H16+I16+J16+K16+L16+M16+N16)</f>
        <v/>
      </c>
      <c r="U16" s="25">
        <f>IF(D16="","",(S16+T16)*O16)</f>
        <v/>
      </c>
      <c r="V16" s="25">
        <f>IF(D16="","",S16+T16+U16)</f>
        <v/>
      </c>
      <c r="W16" s="25">
        <f>IF(D16="","",IFERROR(V16/(1-P16),0))</f>
        <v/>
      </c>
      <c r="X16" s="25">
        <f>IF(D16="","",CEILING(W16,10))</f>
        <v/>
      </c>
      <c r="Y16" s="25">
        <f>IF(D16="","",X16*(1+Q16))</f>
        <v/>
      </c>
      <c r="Z16" s="25">
        <f>IF(D16="","",IF(R16&gt;0,R16,X16))</f>
        <v/>
      </c>
      <c r="AA16" s="25">
        <f>IF(D16="","",Z16-V16)</f>
        <v/>
      </c>
      <c r="AB16" s="26">
        <f>IF(D16="","",IFERROR(AA16/Z16,0))</f>
        <v/>
      </c>
      <c r="AC16" s="26">
        <f>IF(D16="","",IFERROR(AA16/V16,0))</f>
        <v/>
      </c>
      <c r="AD16" s="22">
        <f>IF(D16="","",IF(V16=0,"-",IF(AB16&gt;=P16*0.9,"עבודה רווחית",IF(AB16&gt;=0,"גבולית","לא רווחית"))))</f>
        <v/>
      </c>
      <c r="AE16" s="22" t="n"/>
    </row>
    <row r="17">
      <c r="A17" s="22" t="n"/>
      <c r="B17" s="22" t="n"/>
      <c r="C17" s="22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4" t="n"/>
      <c r="P17" s="24" t="n"/>
      <c r="Q17" s="24" t="n"/>
      <c r="R17" s="23" t="n"/>
      <c r="S17" s="25">
        <f>IF(D17="","",D17*E17*F17)</f>
        <v/>
      </c>
      <c r="T17" s="25">
        <f>IF(D17="","",G17+H17+I17+J17+K17+L17+M17+N17)</f>
        <v/>
      </c>
      <c r="U17" s="25">
        <f>IF(D17="","",(S17+T17)*O17)</f>
        <v/>
      </c>
      <c r="V17" s="25">
        <f>IF(D17="","",S17+T17+U17)</f>
        <v/>
      </c>
      <c r="W17" s="25">
        <f>IF(D17="","",IFERROR(V17/(1-P17),0))</f>
        <v/>
      </c>
      <c r="X17" s="25">
        <f>IF(D17="","",CEILING(W17,10))</f>
        <v/>
      </c>
      <c r="Y17" s="25">
        <f>IF(D17="","",X17*(1+Q17))</f>
        <v/>
      </c>
      <c r="Z17" s="25">
        <f>IF(D17="","",IF(R17&gt;0,R17,X17))</f>
        <v/>
      </c>
      <c r="AA17" s="25">
        <f>IF(D17="","",Z17-V17)</f>
        <v/>
      </c>
      <c r="AB17" s="26">
        <f>IF(D17="","",IFERROR(AA17/Z17,0))</f>
        <v/>
      </c>
      <c r="AC17" s="26">
        <f>IF(D17="","",IFERROR(AA17/V17,0))</f>
        <v/>
      </c>
      <c r="AD17" s="22">
        <f>IF(D17="","",IF(V17=0,"-",IF(AB17&gt;=P17*0.9,"עבודה רווחית",IF(AB17&gt;=0,"גבולית","לא רווחית"))))</f>
        <v/>
      </c>
      <c r="AE17" s="22" t="n"/>
    </row>
    <row r="18">
      <c r="A18" s="22" t="n"/>
      <c r="B18" s="22" t="n"/>
      <c r="C18" s="22" t="n"/>
      <c r="D18" s="23" t="n"/>
      <c r="E18" s="23" t="n"/>
      <c r="F18" s="23" t="n"/>
      <c r="G18" s="23" t="n"/>
      <c r="H18" s="23" t="n"/>
      <c r="I18" s="23" t="n"/>
      <c r="J18" s="23" t="n"/>
      <c r="K18" s="23" t="n"/>
      <c r="L18" s="23" t="n"/>
      <c r="M18" s="23" t="n"/>
      <c r="N18" s="23" t="n"/>
      <c r="O18" s="24" t="n"/>
      <c r="P18" s="24" t="n"/>
      <c r="Q18" s="24" t="n"/>
      <c r="R18" s="23" t="n"/>
      <c r="S18" s="25">
        <f>IF(D18="","",D18*E18*F18)</f>
        <v/>
      </c>
      <c r="T18" s="25">
        <f>IF(D18="","",G18+H18+I18+J18+K18+L18+M18+N18)</f>
        <v/>
      </c>
      <c r="U18" s="25">
        <f>IF(D18="","",(S18+T18)*O18)</f>
        <v/>
      </c>
      <c r="V18" s="25">
        <f>IF(D18="","",S18+T18+U18)</f>
        <v/>
      </c>
      <c r="W18" s="25">
        <f>IF(D18="","",IFERROR(V18/(1-P18),0))</f>
        <v/>
      </c>
      <c r="X18" s="25">
        <f>IF(D18="","",CEILING(W18,10))</f>
        <v/>
      </c>
      <c r="Y18" s="25">
        <f>IF(D18="","",X18*(1+Q18))</f>
        <v/>
      </c>
      <c r="Z18" s="25">
        <f>IF(D18="","",IF(R18&gt;0,R18,X18))</f>
        <v/>
      </c>
      <c r="AA18" s="25">
        <f>IF(D18="","",Z18-V18)</f>
        <v/>
      </c>
      <c r="AB18" s="26">
        <f>IF(D18="","",IFERROR(AA18/Z18,0))</f>
        <v/>
      </c>
      <c r="AC18" s="26">
        <f>IF(D18="","",IFERROR(AA18/V18,0))</f>
        <v/>
      </c>
      <c r="AD18" s="22">
        <f>IF(D18="","",IF(V18=0,"-",IF(AB18&gt;=P18*0.9,"עבודה רווחית",IF(AB18&gt;=0,"גבולית","לא רווחית"))))</f>
        <v/>
      </c>
      <c r="AE18" s="22" t="n"/>
    </row>
    <row r="19">
      <c r="A19" s="22" t="n"/>
      <c r="B19" s="22" t="n"/>
      <c r="C19" s="22" t="n"/>
      <c r="D19" s="23" t="n"/>
      <c r="E19" s="23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4" t="n"/>
      <c r="P19" s="24" t="n"/>
      <c r="Q19" s="24" t="n"/>
      <c r="R19" s="23" t="n"/>
      <c r="S19" s="25">
        <f>IF(D19="","",D19*E19*F19)</f>
        <v/>
      </c>
      <c r="T19" s="25">
        <f>IF(D19="","",G19+H19+I19+J19+K19+L19+M19+N19)</f>
        <v/>
      </c>
      <c r="U19" s="25">
        <f>IF(D19="","",(S19+T19)*O19)</f>
        <v/>
      </c>
      <c r="V19" s="25">
        <f>IF(D19="","",S19+T19+U19)</f>
        <v/>
      </c>
      <c r="W19" s="25">
        <f>IF(D19="","",IFERROR(V19/(1-P19),0))</f>
        <v/>
      </c>
      <c r="X19" s="25">
        <f>IF(D19="","",CEILING(W19,10))</f>
        <v/>
      </c>
      <c r="Y19" s="25">
        <f>IF(D19="","",X19*(1+Q19))</f>
        <v/>
      </c>
      <c r="Z19" s="25">
        <f>IF(D19="","",IF(R19&gt;0,R19,X19))</f>
        <v/>
      </c>
      <c r="AA19" s="25">
        <f>IF(D19="","",Z19-V19)</f>
        <v/>
      </c>
      <c r="AB19" s="26">
        <f>IF(D19="","",IFERROR(AA19/Z19,0))</f>
        <v/>
      </c>
      <c r="AC19" s="26">
        <f>IF(D19="","",IFERROR(AA19/V19,0))</f>
        <v/>
      </c>
      <c r="AD19" s="22">
        <f>IF(D19="","",IF(V19=0,"-",IF(AB19&gt;=P19*0.9,"עבודה רווחית",IF(AB19&gt;=0,"גבולית","לא רווחית"))))</f>
        <v/>
      </c>
      <c r="AE19" s="22" t="n"/>
    </row>
    <row r="20">
      <c r="A20" s="22" t="n"/>
      <c r="B20" s="22" t="n"/>
      <c r="C20" s="22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4" t="n"/>
      <c r="Q20" s="24" t="n"/>
      <c r="R20" s="23" t="n"/>
      <c r="S20" s="25">
        <f>IF(D20="","",D20*E20*F20)</f>
        <v/>
      </c>
      <c r="T20" s="25">
        <f>IF(D20="","",G20+H20+I20+J20+K20+L20+M20+N20)</f>
        <v/>
      </c>
      <c r="U20" s="25">
        <f>IF(D20="","",(S20+T20)*O20)</f>
        <v/>
      </c>
      <c r="V20" s="25">
        <f>IF(D20="","",S20+T20+U20)</f>
        <v/>
      </c>
      <c r="W20" s="25">
        <f>IF(D20="","",IFERROR(V20/(1-P20),0))</f>
        <v/>
      </c>
      <c r="X20" s="25">
        <f>IF(D20="","",CEILING(W20,10))</f>
        <v/>
      </c>
      <c r="Y20" s="25">
        <f>IF(D20="","",X20*(1+Q20))</f>
        <v/>
      </c>
      <c r="Z20" s="25">
        <f>IF(D20="","",IF(R20&gt;0,R20,X20))</f>
        <v/>
      </c>
      <c r="AA20" s="25">
        <f>IF(D20="","",Z20-V20)</f>
        <v/>
      </c>
      <c r="AB20" s="26">
        <f>IF(D20="","",IFERROR(AA20/Z20,0))</f>
        <v/>
      </c>
      <c r="AC20" s="26">
        <f>IF(D20="","",IFERROR(AA20/V20,0))</f>
        <v/>
      </c>
      <c r="AD20" s="22">
        <f>IF(D20="","",IF(V20=0,"-",IF(AB20&gt;=P20*0.9,"עבודה רווחית",IF(AB20&gt;=0,"גבולית","לא רווחית"))))</f>
        <v/>
      </c>
      <c r="AE20" s="22" t="n"/>
    </row>
    <row r="21">
      <c r="A21" s="22" t="n"/>
      <c r="B21" s="22" t="n"/>
      <c r="C21" s="22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4" t="n"/>
      <c r="P21" s="24" t="n"/>
      <c r="Q21" s="24" t="n"/>
      <c r="R21" s="23" t="n"/>
      <c r="S21" s="25">
        <f>IF(D21="","",D21*E21*F21)</f>
        <v/>
      </c>
      <c r="T21" s="25">
        <f>IF(D21="","",G21+H21+I21+J21+K21+L21+M21+N21)</f>
        <v/>
      </c>
      <c r="U21" s="25">
        <f>IF(D21="","",(S21+T21)*O21)</f>
        <v/>
      </c>
      <c r="V21" s="25">
        <f>IF(D21="","",S21+T21+U21)</f>
        <v/>
      </c>
      <c r="W21" s="25">
        <f>IF(D21="","",IFERROR(V21/(1-P21),0))</f>
        <v/>
      </c>
      <c r="X21" s="25">
        <f>IF(D21="","",CEILING(W21,10))</f>
        <v/>
      </c>
      <c r="Y21" s="25">
        <f>IF(D21="","",X21*(1+Q21))</f>
        <v/>
      </c>
      <c r="Z21" s="25">
        <f>IF(D21="","",IF(R21&gt;0,R21,X21))</f>
        <v/>
      </c>
      <c r="AA21" s="25">
        <f>IF(D21="","",Z21-V21)</f>
        <v/>
      </c>
      <c r="AB21" s="26">
        <f>IF(D21="","",IFERROR(AA21/Z21,0))</f>
        <v/>
      </c>
      <c r="AC21" s="26">
        <f>IF(D21="","",IFERROR(AA21/V21,0))</f>
        <v/>
      </c>
      <c r="AD21" s="22">
        <f>IF(D21="","",IF(V21=0,"-",IF(AB21&gt;=P21*0.9,"עבודה רווחית",IF(AB21&gt;=0,"גבולית","לא רווחית"))))</f>
        <v/>
      </c>
      <c r="AE21" s="22" t="n"/>
    </row>
    <row r="22">
      <c r="A22" s="22" t="n"/>
      <c r="B22" s="22" t="n"/>
      <c r="C22" s="22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4" t="n"/>
      <c r="P22" s="24" t="n"/>
      <c r="Q22" s="24" t="n"/>
      <c r="R22" s="23" t="n"/>
      <c r="S22" s="25">
        <f>IF(D22="","",D22*E22*F22)</f>
        <v/>
      </c>
      <c r="T22" s="25">
        <f>IF(D22="","",G22+H22+I22+J22+K22+L22+M22+N22)</f>
        <v/>
      </c>
      <c r="U22" s="25">
        <f>IF(D22="","",(S22+T22)*O22)</f>
        <v/>
      </c>
      <c r="V22" s="25">
        <f>IF(D22="","",S22+T22+U22)</f>
        <v/>
      </c>
      <c r="W22" s="25">
        <f>IF(D22="","",IFERROR(V22/(1-P22),0))</f>
        <v/>
      </c>
      <c r="X22" s="25">
        <f>IF(D22="","",CEILING(W22,10))</f>
        <v/>
      </c>
      <c r="Y22" s="25">
        <f>IF(D22="","",X22*(1+Q22))</f>
        <v/>
      </c>
      <c r="Z22" s="25">
        <f>IF(D22="","",IF(R22&gt;0,R22,X22))</f>
        <v/>
      </c>
      <c r="AA22" s="25">
        <f>IF(D22="","",Z22-V22)</f>
        <v/>
      </c>
      <c r="AB22" s="26">
        <f>IF(D22="","",IFERROR(AA22/Z22,0))</f>
        <v/>
      </c>
      <c r="AC22" s="26">
        <f>IF(D22="","",IFERROR(AA22/V22,0))</f>
        <v/>
      </c>
      <c r="AD22" s="22">
        <f>IF(D22="","",IF(V22=0,"-",IF(AB22&gt;=P22*0.9,"עבודה רווחית",IF(AB22&gt;=0,"גבולית","לא רווחית"))))</f>
        <v/>
      </c>
      <c r="AE22" s="22" t="n"/>
    </row>
    <row r="23">
      <c r="A23" s="22" t="n"/>
      <c r="B23" s="22" t="n"/>
      <c r="C23" s="22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4" t="n"/>
      <c r="Q23" s="24" t="n"/>
      <c r="R23" s="23" t="n"/>
      <c r="S23" s="25">
        <f>IF(D23="","",D23*E23*F23)</f>
        <v/>
      </c>
      <c r="T23" s="25">
        <f>IF(D23="","",G23+H23+I23+J23+K23+L23+M23+N23)</f>
        <v/>
      </c>
      <c r="U23" s="25">
        <f>IF(D23="","",(S23+T23)*O23)</f>
        <v/>
      </c>
      <c r="V23" s="25">
        <f>IF(D23="","",S23+T23+U23)</f>
        <v/>
      </c>
      <c r="W23" s="25">
        <f>IF(D23="","",IFERROR(V23/(1-P23),0))</f>
        <v/>
      </c>
      <c r="X23" s="25">
        <f>IF(D23="","",CEILING(W23,10))</f>
        <v/>
      </c>
      <c r="Y23" s="25">
        <f>IF(D23="","",X23*(1+Q23))</f>
        <v/>
      </c>
      <c r="Z23" s="25">
        <f>IF(D23="","",IF(R23&gt;0,R23,X23))</f>
        <v/>
      </c>
      <c r="AA23" s="25">
        <f>IF(D23="","",Z23-V23)</f>
        <v/>
      </c>
      <c r="AB23" s="26">
        <f>IF(D23="","",IFERROR(AA23/Z23,0))</f>
        <v/>
      </c>
      <c r="AC23" s="26">
        <f>IF(D23="","",IFERROR(AA23/V23,0))</f>
        <v/>
      </c>
      <c r="AD23" s="22">
        <f>IF(D23="","",IF(V23=0,"-",IF(AB23&gt;=P23*0.9,"עבודה רווחית",IF(AB23&gt;=0,"גבולית","לא רווחית"))))</f>
        <v/>
      </c>
      <c r="AE23" s="22" t="n"/>
    </row>
    <row r="24">
      <c r="A24" s="22" t="n"/>
      <c r="B24" s="22" t="n"/>
      <c r="C24" s="22" t="n"/>
      <c r="D24" s="23" t="n"/>
      <c r="E24" s="23" t="n"/>
      <c r="F24" s="23" t="n"/>
      <c r="G24" s="23" t="n"/>
      <c r="H24" s="23" t="n"/>
      <c r="I24" s="23" t="n"/>
      <c r="J24" s="23" t="n"/>
      <c r="K24" s="23" t="n"/>
      <c r="L24" s="23" t="n"/>
      <c r="M24" s="23" t="n"/>
      <c r="N24" s="23" t="n"/>
      <c r="O24" s="24" t="n"/>
      <c r="P24" s="24" t="n"/>
      <c r="Q24" s="24" t="n"/>
      <c r="R24" s="23" t="n"/>
      <c r="S24" s="25">
        <f>IF(D24="","",D24*E24*F24)</f>
        <v/>
      </c>
      <c r="T24" s="25">
        <f>IF(D24="","",G24+H24+I24+J24+K24+L24+M24+N24)</f>
        <v/>
      </c>
      <c r="U24" s="25">
        <f>IF(D24="","",(S24+T24)*O24)</f>
        <v/>
      </c>
      <c r="V24" s="25">
        <f>IF(D24="","",S24+T24+U24)</f>
        <v/>
      </c>
      <c r="W24" s="25">
        <f>IF(D24="","",IFERROR(V24/(1-P24),0))</f>
        <v/>
      </c>
      <c r="X24" s="25">
        <f>IF(D24="","",CEILING(W24,10))</f>
        <v/>
      </c>
      <c r="Y24" s="25">
        <f>IF(D24="","",X24*(1+Q24))</f>
        <v/>
      </c>
      <c r="Z24" s="25">
        <f>IF(D24="","",IF(R24&gt;0,R24,X24))</f>
        <v/>
      </c>
      <c r="AA24" s="25">
        <f>IF(D24="","",Z24-V24)</f>
        <v/>
      </c>
      <c r="AB24" s="26">
        <f>IF(D24="","",IFERROR(AA24/Z24,0))</f>
        <v/>
      </c>
      <c r="AC24" s="26">
        <f>IF(D24="","",IFERROR(AA24/V24,0))</f>
        <v/>
      </c>
      <c r="AD24" s="22">
        <f>IF(D24="","",IF(V24=0,"-",IF(AB24&gt;=P24*0.9,"עבודה רווחית",IF(AB24&gt;=0,"גבולית","לא רווחית"))))</f>
        <v/>
      </c>
      <c r="AE24" s="22" t="n"/>
    </row>
    <row r="25">
      <c r="A25" s="22" t="n"/>
      <c r="B25" s="22" t="n"/>
      <c r="C25" s="22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4" t="n"/>
      <c r="Q25" s="24" t="n"/>
      <c r="R25" s="23" t="n"/>
      <c r="S25" s="25">
        <f>IF(D25="","",D25*E25*F25)</f>
        <v/>
      </c>
      <c r="T25" s="25">
        <f>IF(D25="","",G25+H25+I25+J25+K25+L25+M25+N25)</f>
        <v/>
      </c>
      <c r="U25" s="25">
        <f>IF(D25="","",(S25+T25)*O25)</f>
        <v/>
      </c>
      <c r="V25" s="25">
        <f>IF(D25="","",S25+T25+U25)</f>
        <v/>
      </c>
      <c r="W25" s="25">
        <f>IF(D25="","",IFERROR(V25/(1-P25),0))</f>
        <v/>
      </c>
      <c r="X25" s="25">
        <f>IF(D25="","",CEILING(W25,10))</f>
        <v/>
      </c>
      <c r="Y25" s="25">
        <f>IF(D25="","",X25*(1+Q25))</f>
        <v/>
      </c>
      <c r="Z25" s="25">
        <f>IF(D25="","",IF(R25&gt;0,R25,X25))</f>
        <v/>
      </c>
      <c r="AA25" s="25">
        <f>IF(D25="","",Z25-V25)</f>
        <v/>
      </c>
      <c r="AB25" s="26">
        <f>IF(D25="","",IFERROR(AA25/Z25,0))</f>
        <v/>
      </c>
      <c r="AC25" s="26">
        <f>IF(D25="","",IFERROR(AA25/V25,0))</f>
        <v/>
      </c>
      <c r="AD25" s="22">
        <f>IF(D25="","",IF(V25=0,"-",IF(AB25&gt;=P25*0.9,"עבודה רווחית",IF(AB25&gt;=0,"גבולית","לא רווחית"))))</f>
        <v/>
      </c>
      <c r="AE25" s="22" t="n"/>
    </row>
    <row r="26">
      <c r="A26" s="22" t="n"/>
      <c r="B26" s="22" t="n"/>
      <c r="C26" s="22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4" t="n"/>
      <c r="Q26" s="24" t="n"/>
      <c r="R26" s="23" t="n"/>
      <c r="S26" s="25">
        <f>IF(D26="","",D26*E26*F26)</f>
        <v/>
      </c>
      <c r="T26" s="25">
        <f>IF(D26="","",G26+H26+I26+J26+K26+L26+M26+N26)</f>
        <v/>
      </c>
      <c r="U26" s="25">
        <f>IF(D26="","",(S26+T26)*O26)</f>
        <v/>
      </c>
      <c r="V26" s="25">
        <f>IF(D26="","",S26+T26+U26)</f>
        <v/>
      </c>
      <c r="W26" s="25">
        <f>IF(D26="","",IFERROR(V26/(1-P26),0))</f>
        <v/>
      </c>
      <c r="X26" s="25">
        <f>IF(D26="","",CEILING(W26,10))</f>
        <v/>
      </c>
      <c r="Y26" s="25">
        <f>IF(D26="","",X26*(1+Q26))</f>
        <v/>
      </c>
      <c r="Z26" s="25">
        <f>IF(D26="","",IF(R26&gt;0,R26,X26))</f>
        <v/>
      </c>
      <c r="AA26" s="25">
        <f>IF(D26="","",Z26-V26)</f>
        <v/>
      </c>
      <c r="AB26" s="26">
        <f>IF(D26="","",IFERROR(AA26/Z26,0))</f>
        <v/>
      </c>
      <c r="AC26" s="26">
        <f>IF(D26="","",IFERROR(AA26/V26,0))</f>
        <v/>
      </c>
      <c r="AD26" s="22">
        <f>IF(D26="","",IF(V26=0,"-",IF(AB26&gt;=P26*0.9,"עבודה רווחית",IF(AB26&gt;=0,"גבולית","לא רווחית"))))</f>
        <v/>
      </c>
      <c r="AE26" s="22" t="n"/>
    </row>
    <row r="27">
      <c r="A27" s="22" t="n"/>
      <c r="B27" s="22" t="n"/>
      <c r="C27" s="22" t="n"/>
      <c r="D27" s="23" t="n"/>
      <c r="E27" s="23" t="n"/>
      <c r="F27" s="23" t="n"/>
      <c r="G27" s="23" t="n"/>
      <c r="H27" s="23" t="n"/>
      <c r="I27" s="23" t="n"/>
      <c r="J27" s="23" t="n"/>
      <c r="K27" s="23" t="n"/>
      <c r="L27" s="23" t="n"/>
      <c r="M27" s="23" t="n"/>
      <c r="N27" s="23" t="n"/>
      <c r="O27" s="24" t="n"/>
      <c r="P27" s="24" t="n"/>
      <c r="Q27" s="24" t="n"/>
      <c r="R27" s="23" t="n"/>
      <c r="S27" s="25">
        <f>IF(D27="","",D27*E27*F27)</f>
        <v/>
      </c>
      <c r="T27" s="25">
        <f>IF(D27="","",G27+H27+I27+J27+K27+L27+M27+N27)</f>
        <v/>
      </c>
      <c r="U27" s="25">
        <f>IF(D27="","",(S27+T27)*O27)</f>
        <v/>
      </c>
      <c r="V27" s="25">
        <f>IF(D27="","",S27+T27+U27)</f>
        <v/>
      </c>
      <c r="W27" s="25">
        <f>IF(D27="","",IFERROR(V27/(1-P27),0))</f>
        <v/>
      </c>
      <c r="X27" s="25">
        <f>IF(D27="","",CEILING(W27,10))</f>
        <v/>
      </c>
      <c r="Y27" s="25">
        <f>IF(D27="","",X27*(1+Q27))</f>
        <v/>
      </c>
      <c r="Z27" s="25">
        <f>IF(D27="","",IF(R27&gt;0,R27,X27))</f>
        <v/>
      </c>
      <c r="AA27" s="25">
        <f>IF(D27="","",Z27-V27)</f>
        <v/>
      </c>
      <c r="AB27" s="26">
        <f>IF(D27="","",IFERROR(AA27/Z27,0))</f>
        <v/>
      </c>
      <c r="AC27" s="26">
        <f>IF(D27="","",IFERROR(AA27/V27,0))</f>
        <v/>
      </c>
      <c r="AD27" s="22">
        <f>IF(D27="","",IF(V27=0,"-",IF(AB27&gt;=P27*0.9,"עבודה רווחית",IF(AB27&gt;=0,"גבולית","לא רווחית"))))</f>
        <v/>
      </c>
      <c r="AE27" s="22" t="n"/>
    </row>
    <row r="28">
      <c r="A28" s="22" t="n"/>
      <c r="B28" s="22" t="n"/>
      <c r="C28" s="22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4" t="n"/>
      <c r="Q28" s="24" t="n"/>
      <c r="R28" s="23" t="n"/>
      <c r="S28" s="25">
        <f>IF(D28="","",D28*E28*F28)</f>
        <v/>
      </c>
      <c r="T28" s="25">
        <f>IF(D28="","",G28+H28+I28+J28+K28+L28+M28+N28)</f>
        <v/>
      </c>
      <c r="U28" s="25">
        <f>IF(D28="","",(S28+T28)*O28)</f>
        <v/>
      </c>
      <c r="V28" s="25">
        <f>IF(D28="","",S28+T28+U28)</f>
        <v/>
      </c>
      <c r="W28" s="25">
        <f>IF(D28="","",IFERROR(V28/(1-P28),0))</f>
        <v/>
      </c>
      <c r="X28" s="25">
        <f>IF(D28="","",CEILING(W28,10))</f>
        <v/>
      </c>
      <c r="Y28" s="25">
        <f>IF(D28="","",X28*(1+Q28))</f>
        <v/>
      </c>
      <c r="Z28" s="25">
        <f>IF(D28="","",IF(R28&gt;0,R28,X28))</f>
        <v/>
      </c>
      <c r="AA28" s="25">
        <f>IF(D28="","",Z28-V28)</f>
        <v/>
      </c>
      <c r="AB28" s="26">
        <f>IF(D28="","",IFERROR(AA28/Z28,0))</f>
        <v/>
      </c>
      <c r="AC28" s="26">
        <f>IF(D28="","",IFERROR(AA28/V28,0))</f>
        <v/>
      </c>
      <c r="AD28" s="22">
        <f>IF(D28="","",IF(V28=0,"-",IF(AB28&gt;=P28*0.9,"עבודה רווחית",IF(AB28&gt;=0,"גבולית","לא רווחית"))))</f>
        <v/>
      </c>
      <c r="AE28" s="22" t="n"/>
    </row>
  </sheetData>
  <mergeCells count="2">
    <mergeCell ref="A1:AE1"/>
    <mergeCell ref="A2:AE2"/>
  </mergeCells>
  <conditionalFormatting sqref="AD4:AD28">
    <cfRule type="expression" priority="1" dxfId="0">
      <formula>$AD4="עבודה רווחית"</formula>
    </cfRule>
    <cfRule type="expression" priority="2" dxfId="1">
      <formula>$AD4="גבולית"</formula>
    </cfRule>
    <cfRule type="expression" priority="3" dxfId="2">
      <formula>$AD4="לא רווחית"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2" t="inlineStr">
        <is>
          <t>התחלה מהירה | Quick Start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7" t="inlineStr">
        <is>
          <t>1. עברו ללשונית 'Main Workspace' — שם נמצאת טבלת העבודה המרכזית.</t>
        </is>
      </c>
    </row>
    <row r="6" ht="34" customHeight="1">
      <c r="A6" s="27" t="inlineStr">
        <is>
          <t>2. מחקו את 5 שורות הדוגמה (PRJ-0001 עד PRJ-0005) או השאירו אותן כהדגמה — הן מסומנות בצבע התאים הצהובים.</t>
        </is>
      </c>
    </row>
    <row r="8" ht="34" customHeight="1">
      <c r="A8" s="27" t="inlineStr">
        <is>
          <t>3. בכל שורה חדשה, מלאו רק את התאים הצהובים: שם פרויקט, לקוח, עובדים, שעות, עלות חומרים והוצאות.</t>
        </is>
      </c>
    </row>
    <row r="10" ht="34" customHeight="1">
      <c r="A10" s="27" t="inlineStr">
        <is>
          <t>4. הגדירו 'רווח יעד %' ו-'מע"מ %' לכל פרויקט — אלו קובעים את המחיר המומלץ.</t>
        </is>
      </c>
    </row>
    <row r="12" ht="34" customHeight="1">
      <c r="A12" s="27" t="inlineStr">
        <is>
          <t>5. עברו ל-Dashboard כדי לראות סיכום מיידי של הרווחיות של כל העבודות שלכם.</t>
        </is>
      </c>
    </row>
    <row r="14" ht="40" customHeight="1">
      <c r="A14" s="28" t="inlineStr">
        <is>
          <t>טיפ: כל תא צהוב = תא להזנה. כל תא לבן = מחושב אוטומטית. לעולם אל תקלידו ישירות בתוך תאים לבנים.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9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2" t="inlineStr">
        <is>
          <t>מדריך שימוש | User Guide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9" t="inlineStr">
        <is>
          <t>מה זה?</t>
        </is>
      </c>
      <c r="C4" s="15" t="inlineStr">
        <is>
          <t>מחשבון תמחור ורווחיות שמראה לכם בדיוק כמה עולה לכם כל עבודה וכמה אתם צריכים לגבות כדי להרוויח.</t>
        </is>
      </c>
    </row>
    <row r="5" ht="46" customHeight="1">
      <c r="B5" s="29" t="inlineStr">
        <is>
          <t>למי זה מתאים?</t>
        </is>
      </c>
      <c r="C5" s="15" t="inlineStr">
        <is>
          <t>חשמלאים, קבלנים, שרברבים, צבעים, נגרים, מתקיני מיזוג ואוויר, וכל בעל מקצוע שמתמחר עבודות.</t>
        </is>
      </c>
    </row>
    <row r="6" ht="46" customHeight="1">
      <c r="B6" s="29" t="inlineStr">
        <is>
          <t>איזו בעיה זה פותר?</t>
        </is>
      </c>
      <c r="C6" s="15" t="inlineStr">
        <is>
          <t>תמחור על פי תחושת בטן שגורם להפסדים סמויים — עבודות שנראות טוב על הנייר אבל בפועל לא משתלמות.</t>
        </is>
      </c>
    </row>
    <row r="7" ht="46" customHeight="1">
      <c r="B7" s="29" t="inlineStr">
        <is>
          <t>איך מתחילים?</t>
        </is>
      </c>
      <c r="C7" s="15" t="inlineStr">
        <is>
          <t>מלאו שורה אחת עבור כל עבודה/פרויקט בלשונית Main Workspace, בתאים הצהובים בלבד.</t>
        </is>
      </c>
    </row>
    <row r="8" ht="46" customHeight="1">
      <c r="B8" s="29" t="inlineStr">
        <is>
          <t>מה צריך להזין?</t>
        </is>
      </c>
      <c r="C8" s="15" t="inlineStr">
        <is>
          <t>מספר עובדים, עלות שעה, שעות עבודה, עלות חומרים, כל ההוצאות הנלוות (נסיעות, דלק, חניה, קבלני משנה, ציוד, השכרות), אחוז תקורה, אחוז רווח יעד ואחוז מע"מ.</t>
        </is>
      </c>
    </row>
    <row r="9" ht="46" customHeight="1">
      <c r="B9" s="29" t="inlineStr">
        <is>
          <t>מה מחושב אוטומטית?</t>
        </is>
      </c>
      <c r="C9" s="15" t="inlineStr">
        <is>
          <t>עלות עבודה, עלות ישירה, תקורה בש"ח, עלות כוללת, מחיר מינימום, מחיר מומלץ (כולל ובלי מע"מ), רווח בש"ח, רווח % (Margin), Markup % וסטטוס רווחיות.</t>
        </is>
      </c>
    </row>
    <row r="10" ht="46" customHeight="1">
      <c r="B10" s="29" t="inlineStr">
        <is>
          <t>מה Dashboard מציג?</t>
        </is>
      </c>
      <c r="C10" s="15" t="inlineStr">
        <is>
          <t>מספר פרויקטים כולל, סך רווח, רווח ממוצע, וכמות עבודות רווחיות/גבוליות/לא רווחיות, בתוספת התראות עסקיות.</t>
        </is>
      </c>
    </row>
    <row r="11" ht="46" customHeight="1">
      <c r="B11" s="29" t="inlineStr">
        <is>
          <t>Margin מול Markup — מה ההבדל?</t>
        </is>
      </c>
      <c r="C11" s="15" t="inlineStr">
        <is>
          <t>Margin = רווח חלקי מחיר המכירה. Markup = רווח חלקי עלות. שני המספרים חשובים אך אומרים דברים שונים — Margin אומר כמה מכל שקל שנכנס נשאר רווח, Markup אומר באיזה אחוז העלינו את המחיר מעל העלות.</t>
        </is>
      </c>
    </row>
    <row r="12" ht="46" customHeight="1">
      <c r="B12" s="29" t="inlineStr">
        <is>
          <t>איך המחיר המומלץ מחושב?</t>
        </is>
      </c>
      <c r="C12" s="15" t="inlineStr">
        <is>
          <t>מחיר מינימום = עלות כוללת ÷ (1 - רווח יעד%). כך שהרווח יעד מובטח כאחוז מהמחיר הסופי, לא רק מעל העלות. המחיר המומלץ מעוגל כלפי מעלה ל-10 הקרוב לנוחות.</t>
        </is>
      </c>
    </row>
    <row r="13" ht="46" customHeight="1">
      <c r="B13" s="29" t="inlineStr">
        <is>
          <t>טיפים</t>
        </is>
      </c>
      <c r="C13" s="15" t="inlineStr">
        <is>
          <t>1) קבעו רווח יעד לפי סוג העבודה — עבודות מורכבות/דחופות ראויות ליעד גבוה יותר. 2) עדכנו עלות שעה כשהיא משתנה. 3) בדקו את Dashboard לפני שליחת הצעות מחיר חדשות.</t>
        </is>
      </c>
    </row>
    <row r="15">
      <c r="B15" s="30" t="inlineStr">
        <is>
          <t>שאלות נפוצות (FAQ)</t>
        </is>
      </c>
    </row>
    <row r="16" ht="40" customHeight="1">
      <c r="B16" s="31" t="inlineStr">
        <is>
          <t>האם זה עובד ב-Google Sheets?</t>
        </is>
      </c>
      <c r="C16" s="15" t="inlineStr">
        <is>
          <t>כן. יש להעלות את הקובץ ל-Google Drive ולפתוח עם Google Sheets. כל הנוסחאות וה-Conditional Formatting נתמכים.</t>
        </is>
      </c>
    </row>
    <row r="17" ht="40" customHeight="1">
      <c r="B17" s="31" t="inlineStr">
        <is>
          <t>איך מוחקים את נתוני הדוגמה?</t>
        </is>
      </c>
      <c r="C17" s="15" t="inlineStr">
        <is>
          <t>סמנו את השורות 4-8 בלשונית Main Workspace, לחצו קליק ימני &gt; Delete Row, או פשוט מחקו את התוכן בתאים הצהובים.</t>
        </is>
      </c>
    </row>
    <row r="18" ht="40" customHeight="1">
      <c r="B18" s="31" t="inlineStr">
        <is>
          <t>אפשר להוסיף שורות נוספות?</t>
        </is>
      </c>
      <c r="C18" s="15" t="inlineStr">
        <is>
          <t>כן, פשוט העתיקו שורה קיימת (כולל הנוסחאות) והדביקו מתחת לטבלה.</t>
        </is>
      </c>
    </row>
    <row r="19" ht="40" customHeight="1">
      <c r="B19" s="31" t="inlineStr">
        <is>
          <t>המספרים לא מתעדכנים, מה עושים?</t>
        </is>
      </c>
      <c r="C19" s="15" t="inlineStr">
        <is>
          <t>ודאו שחישוב אוטומטי פעיל: Excel &gt; Formulas &gt; Calculation Options &gt; Automatic.</t>
        </is>
      </c>
    </row>
  </sheetData>
  <mergeCells count="3">
    <mergeCell ref="A1:C1"/>
    <mergeCell ref="A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2026-09-13T18:00:49Z</dcterms:created>
  <dcterms:modified xsi:type="dcterms:W3CDTF">2026-09-13T18:00:49Z</dcterms:modified>
</cp:coreProperties>
</file>