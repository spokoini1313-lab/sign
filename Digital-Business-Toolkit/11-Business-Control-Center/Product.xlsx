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 למנהלים" sheetId="1" state="visible" r:id="rId1"/>
    <sheet name="פרויקטים" sheetId="2" state="visible" r:id="rId2"/>
    <sheet name="מכירות ולידים" sheetId="3" state="visible" r:id="rId3"/>
    <sheet name="תזרים מזומנים" sheetId="4" state="visible" r:id="rId4"/>
    <sheet name="מלאי" sheetId="5" state="visible" r:id="rId5"/>
    <sheet name="כוח אדם" sheetId="6" state="visible" r:id="rId6"/>
    <sheet name="התחלה מהירה" sheetId="7" state="visible" r:id="rId7"/>
    <sheet name="מדריך שימו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FFFFFF"/>
      <sz val="12"/>
    </font>
    <font>
      <name val="Calibri"/>
      <b val="1"/>
      <color rgb="0017365D"/>
      <sz val="9"/>
    </font>
    <font>
      <name val="Calibri"/>
      <b val="1"/>
      <color rgb="001F4E78"/>
      <sz val="16"/>
    </font>
    <font>
      <name val="Calibri"/>
      <b val="1"/>
      <color rgb="00FFFFFF"/>
      <sz val="13"/>
    </font>
    <font>
      <name val="Calibri"/>
      <color rgb="0017365D"/>
      <sz val="10.5"/>
    </font>
    <font>
      <name val="Calibri"/>
      <i val="1"/>
      <color rgb="0017365D"/>
      <sz val="9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2" borderId="0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166" fontId="10" fillId="6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right" vertical="center" wrapText="1"/>
    </xf>
    <xf numFmtId="0" fontId="12" fillId="4" borderId="0" applyAlignment="1" pivotButton="0" quotePrefix="0" xfId="0">
      <alignment horizontal="right" vertical="center" wrapText="1"/>
    </xf>
    <xf numFmtId="0" fontId="12" fillId="5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9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14" fillId="7" borderId="0" applyAlignment="1" pivotButton="0" quotePrefix="0" xfId="0">
      <alignment horizontal="right" vertical="center" wrapText="1"/>
    </xf>
    <xf numFmtId="0" fontId="15" fillId="5" borderId="0" applyAlignment="1" pivotButton="0" quotePrefix="0" xfId="0">
      <alignment horizontal="right" vertical="center" wrapText="1"/>
    </xf>
    <xf numFmtId="0" fontId="16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1" fillId="2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יתרת מזומנים חודשית</a:t>
            </a:r>
          </a:p>
        </rich>
      </tx>
    </title>
    <plotArea>
      <lineChart>
        <grouping val="standard"/>
        <ser>
          <idx val="0"/>
          <order val="0"/>
          <tx>
            <strRef>
              <f>'תזרים מזומנים'!H3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'תזרים מזומנים'!$A$4:$A$15</f>
            </numRef>
          </cat>
          <val>
            <numRef>
              <f>'תזרים מזומנים'!$H$4:$H$15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חודש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G23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" customWidth="1" min="8" max="8"/>
  </cols>
  <sheetData>
    <row r="2" ht="46" customHeight="1">
      <c r="B2" s="1" t="inlineStr">
        <is>
          <t>לוח בקרה למנהלים — מרכז הבקרה העסקי</t>
        </is>
      </c>
      <c r="C2" s="2" t="n"/>
      <c r="D2" s="2" t="n"/>
      <c r="E2" s="2" t="n"/>
      <c r="F2" s="2" t="n"/>
      <c r="G2" s="2" t="n"/>
    </row>
    <row r="3" ht="22" customHeight="1">
      <c r="B3" s="3" t="inlineStr">
        <is>
          <t>ContractorOS — כל העסק שלכם, במבט אחד</t>
        </is>
      </c>
      <c r="C3" s="4" t="n"/>
      <c r="D3" s="4" t="n"/>
      <c r="E3" s="4" t="n"/>
      <c r="F3" s="4" t="n"/>
      <c r="G3" s="4" t="n"/>
    </row>
    <row r="5" ht="24" customHeight="1">
      <c r="B5" s="5" t="inlineStr">
        <is>
          <t>💰 פיננסי</t>
        </is>
      </c>
    </row>
    <row r="6" ht="28" customHeight="1">
      <c r="B6" s="6" t="inlineStr">
        <is>
          <t>הכנסה (₪)</t>
        </is>
      </c>
      <c r="C6" s="6" t="inlineStr">
        <is>
          <t>רווח גולמי (₪)</t>
        </is>
      </c>
      <c r="D6" s="6" t="inlineStr">
        <is>
          <t>מרג'ין ממוצע %</t>
        </is>
      </c>
      <c r="E6" s="6" t="inlineStr">
        <is>
          <t>יתרת מזומן נוכחית (₪)</t>
        </is>
      </c>
      <c r="F6" s="6" t="inlineStr">
        <is>
          <t>יתרה לגבייה (₪)</t>
        </is>
      </c>
      <c r="G6" s="6" t="inlineStr">
        <is>
          <t>שווי מלאי (₪)</t>
        </is>
      </c>
    </row>
    <row r="7" ht="32" customHeight="1">
      <c r="B7" s="7">
        <f>SUM(פרויקטים!I4:I28)</f>
        <v/>
      </c>
      <c r="C7" s="7">
        <f>SUM(פרויקטים!L4:L28)</f>
        <v/>
      </c>
      <c r="D7" s="8">
        <f>IFERROR(AVERAGE(פרויקטים!M4:M28),0)</f>
        <v/>
      </c>
      <c r="E7" s="7">
        <f>'תזרים מזומנים'!H15</f>
        <v/>
      </c>
      <c r="F7" s="7">
        <f>SUM(פרויקטים!K4:K28)</f>
        <v/>
      </c>
      <c r="G7" s="7">
        <f>SUM(מלאי!H4:H23)</f>
        <v/>
      </c>
    </row>
    <row r="10" ht="24" customHeight="1">
      <c r="B10" s="5" t="inlineStr">
        <is>
          <t>🏗 פרויקטים ומכירות</t>
        </is>
      </c>
    </row>
    <row r="11" ht="28" customHeight="1">
      <c r="B11" s="6" t="inlineStr">
        <is>
          <t>פרויקטים פעילים</t>
        </is>
      </c>
      <c r="C11" s="6" t="inlineStr">
        <is>
          <t>פרויקטים בסיכון</t>
        </is>
      </c>
      <c r="D11" s="6" t="inlineStr">
        <is>
          <t>סה"כ לידים</t>
        </is>
      </c>
      <c r="E11" s="6" t="inlineStr">
        <is>
          <t>אחוז המרה</t>
        </is>
      </c>
      <c r="F11" s="6" t="inlineStr">
        <is>
          <t>שעות עבודה כוללות</t>
        </is>
      </c>
      <c r="G11" s="6" t="inlineStr">
        <is>
          <t>עלות עבודה כוללת (₪)</t>
        </is>
      </c>
    </row>
    <row r="12" ht="32" customHeight="1">
      <c r="B12" s="7">
        <f>COUNTIFS(פרויקטים!C4:C28,"&lt;&gt;הושלם",פרויקטים!C4:C28,"&lt;&gt;בוטל",פרויקטים!C4:C28,"&lt;&gt;")</f>
        <v/>
      </c>
      <c r="C12" s="7">
        <f>COUNTIFS(פרויקטים!N4:N28,"&lt;&gt;תקין",פרויקטים!N4:N28,"&lt;&gt;-",פרויקטים!N4:N28,"&lt;&gt;")</f>
        <v/>
      </c>
      <c r="D12" s="7">
        <f>COUNTA('מכירות ולידים'!A4:A28)</f>
        <v/>
      </c>
      <c r="E12" s="8">
        <f>IFERROR(COUNTIF('מכירות ולידים'!E4:E28,"נסגר בהצלחה")/COUNTA('מכירות ולידים'!A4:A28),0)</f>
        <v/>
      </c>
      <c r="F12" s="7">
        <f>SUM('כוח אדם'!C4:C22)+SUM('כוח אדם'!D4:D22)</f>
        <v/>
      </c>
      <c r="G12" s="7">
        <f>SUM('כוח אדם'!E4:E22)</f>
        <v/>
      </c>
    </row>
    <row r="15" ht="26" customHeight="1">
      <c r="B15" s="9" t="inlineStr">
        <is>
          <t>⚠ תובנות עסקיות חכמות</t>
        </is>
      </c>
    </row>
    <row r="16" ht="22" customHeight="1">
      <c r="B16" s="10">
        <f>IF(COUNTIFS(פרויקטים!N4:N28,"חריגת תקציב")&gt;0,"הפרויקט '"&amp;IFERROR(INDEX(פרויקטים!A4:A28,MATCH(MAX(פרויקטים!H4:H28),פרויקטים!H4:H28,0)),"")&amp;"' חרג מתקציב ב-"&amp;TEXT(MAX(פרויקטים!H4:H28),"0%")&amp;".","אין פרויקטים בחריגת תקציב כרגע.")</f>
        <v/>
      </c>
    </row>
    <row r="17" ht="22" customHeight="1">
      <c r="B17" s="11">
        <f>IF(SUM(פרויקטים!K4:K28)&gt;0,"יש "&amp;TEXT(SUM(פרויקטים!K4:K28),"#,##0")&amp;" ש'' ממתינים לגבייה על פני "&amp;COUNTIF(פרויקטים!K4:K28,"&gt;0")&amp;" פרויקטים.","כל הגבייה עדכנית.")</f>
        <v/>
      </c>
    </row>
    <row r="18" ht="22" customHeight="1">
      <c r="B18" s="10">
        <f>IF(COUNTIFS('מכירות ולידים'!F4:F28,"חם",'מכירות ולידים'!E4:E28,"&lt;&gt;נסגר בהצלחה",'מכירות ולידים'!E4:E28,"&lt;&gt;אבדנו")&gt;0,COUNTIFS('מכירות ולידים'!F4:F28,"חם",'מכירות ולידים'!E4:E28,"&lt;&gt;נסגר בהצלחה",'מכירות ולידים'!E4:E28,"&lt;&gt;אבדנו")&amp;" לידים חמים דורשים פולואפ עכשיו.","אין לידים חמים פתוחים כרגע.")</f>
        <v/>
      </c>
    </row>
    <row r="19" ht="22" customHeight="1">
      <c r="B19" s="11">
        <f>IF(AVERAGE(פרויקטים!M4:M28)&lt;0.15,"הרווח הממוצע (מרג'ין) ירד מתחת ל-15% — כדאי לבדוק את מבנה התמחור.","המרג'ין הממוצע בטווח בריא.")</f>
        <v/>
      </c>
    </row>
    <row r="20" ht="22" customHeight="1">
      <c r="B20" s="10">
        <f>IF(COUNTIF(מלאי!H4:H23,"&lt;500")&gt;0,"יש פריטי מלאי בשווי נמוך שכדאי לבדוק להזמנה מחדש.","רמות המלאי תקינות.")</f>
        <v/>
      </c>
    </row>
    <row r="21" ht="22" customHeight="1">
      <c r="B21" s="11">
        <f>IF(COUNTIF(פרויקטים!L4:L28,"&gt;0")&gt;0,"הפרויקט הרווחי ביותר כרגע: '"&amp;IFERROR(INDEX(פרויקטים!A4:A28,MATCH(MAX(פרויקטים!L4:L28),פרויקטים!L4:L28,0)),"")&amp;"'.","עדיין אין נתוני רווח לפרויקטים.")</f>
        <v/>
      </c>
    </row>
    <row r="23" ht="20" customHeight="1">
      <c r="B23" s="12" t="inlineStr">
        <is>
          <t>לנתונים המלאים: לשוניות פרויקטים / מכירות ולידים / תזרים מזומנים / מלאי / כוח אדם</t>
        </is>
      </c>
    </row>
  </sheetData>
  <mergeCells count="12">
    <mergeCell ref="B3:G3"/>
    <mergeCell ref="B2:G2"/>
    <mergeCell ref="B16:G16"/>
    <mergeCell ref="B19:G19"/>
    <mergeCell ref="B10:G10"/>
    <mergeCell ref="B20:G20"/>
    <mergeCell ref="B5:G5"/>
    <mergeCell ref="B17:G17"/>
    <mergeCell ref="B23:G23"/>
    <mergeCell ref="B18:G18"/>
    <mergeCell ref="B21:G21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O2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3" customWidth="1" min="9" max="9"/>
    <col width="14" customWidth="1" min="10" max="10"/>
    <col width="13" customWidth="1" min="11" max="11"/>
    <col width="13" customWidth="1" min="12" max="12"/>
    <col width="12" customWidth="1" min="13" max="13"/>
    <col width="11" customWidth="1" min="14" max="14"/>
    <col width="20" customWidth="1" min="15" max="15"/>
  </cols>
  <sheetData>
    <row r="1" ht="44" customHeight="1">
      <c r="A1" s="13" t="inlineStr">
        <is>
          <t>רישום פרויקטים מרכזי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3" t="inlineStr">
        <is>
          <t>שורה אחת לכל פרויקט — שם הפרויקט חייב להיות זהה למה שהוזן בכל שאר מוצרי ContractorOS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34" customHeight="1">
      <c r="A3" s="14" t="inlineStr">
        <is>
          <t>שם פרויקט</t>
        </is>
      </c>
      <c r="B3" s="14" t="inlineStr">
        <is>
          <t>לקוח</t>
        </is>
      </c>
      <c r="C3" s="14" t="inlineStr">
        <is>
          <t>סטטוס ביצוע</t>
        </is>
      </c>
      <c r="D3" s="14" t="inlineStr">
        <is>
          <t>אחוז השלמה</t>
        </is>
      </c>
      <c r="E3" s="14" t="inlineStr">
        <is>
          <t>תאריך יעד</t>
        </is>
      </c>
      <c r="F3" s="14" t="inlineStr">
        <is>
          <t>תקציב (₪)</t>
        </is>
      </c>
      <c r="G3" s="14" t="inlineStr">
        <is>
          <t>עלות בפועל (₪)</t>
        </is>
      </c>
      <c r="H3" s="14" t="inlineStr">
        <is>
          <t>חריגת תקציב %</t>
        </is>
      </c>
      <c r="I3" s="14" t="inlineStr">
        <is>
          <t>שווי הצעה כולל מע"מ (₪)</t>
        </is>
      </c>
      <c r="J3" s="14" t="inlineStr">
        <is>
          <t>נגבה עד כה (₪)</t>
        </is>
      </c>
      <c r="K3" s="14" t="inlineStr">
        <is>
          <t>יתרה לגבייה (₪)</t>
        </is>
      </c>
      <c r="L3" s="14" t="inlineStr">
        <is>
          <t>רווח משוער (₪)</t>
        </is>
      </c>
      <c r="M3" s="14" t="inlineStr">
        <is>
          <t>מרג'ין %</t>
        </is>
      </c>
      <c r="N3" s="14" t="inlineStr">
        <is>
          <t>סיכון</t>
        </is>
      </c>
      <c r="O3" s="14" t="inlineStr">
        <is>
          <t>הערות</t>
        </is>
      </c>
    </row>
    <row r="4">
      <c r="A4" s="15" t="inlineStr">
        <is>
          <t>שיפוץ מטבח - וילה כהן</t>
        </is>
      </c>
      <c r="B4" s="15" t="inlineStr">
        <is>
          <t>משפחת כהן</t>
        </is>
      </c>
      <c r="C4" s="16" t="inlineStr">
        <is>
          <t>בביצוע</t>
        </is>
      </c>
      <c r="D4" s="17" t="n">
        <v>0.65</v>
      </c>
      <c r="E4" s="18" t="n">
        <v>46063</v>
      </c>
      <c r="F4" s="19" t="n">
        <v>20500</v>
      </c>
      <c r="G4" s="19" t="n">
        <v>21800</v>
      </c>
      <c r="H4" s="20">
        <f>IFERROR((G4-F4)/F4,0)</f>
        <v/>
      </c>
      <c r="I4" s="19" t="n">
        <v>48000</v>
      </c>
      <c r="J4" s="19" t="n">
        <v>20000</v>
      </c>
      <c r="K4" s="21">
        <f>I4-J4</f>
        <v/>
      </c>
      <c r="L4" s="22">
        <f>I4-G4</f>
        <v/>
      </c>
      <c r="M4" s="20">
        <f>IFERROR(L4/I4,0)</f>
        <v/>
      </c>
      <c r="N4" s="23">
        <f>IF(C4="הושלם","-",IF(TODAY()&gt;E4,"פיגור",IF(H4&gt;0.1,"חריגת תקציב",IF(M4&lt;0.15,"מרג'ין נמוך","תקין"))))</f>
        <v/>
      </c>
      <c r="O4" s="24" t="inlineStr"/>
    </row>
    <row r="5">
      <c r="A5" s="15" t="inlineStr">
        <is>
          <t>החלפת לוח חשמל</t>
        </is>
      </c>
      <c r="B5" s="15" t="inlineStr">
        <is>
          <t>עו"ד לוי</t>
        </is>
      </c>
      <c r="C5" s="16" t="inlineStr">
        <is>
          <t>הושלם</t>
        </is>
      </c>
      <c r="D5" s="17" t="n">
        <v>1</v>
      </c>
      <c r="E5" s="18" t="n">
        <v>46042</v>
      </c>
      <c r="F5" s="19" t="n">
        <v>2500</v>
      </c>
      <c r="G5" s="19" t="n">
        <v>2650</v>
      </c>
      <c r="H5" s="20">
        <f>IFERROR((G5-F5)/F5,0)</f>
        <v/>
      </c>
      <c r="I5" s="19" t="n">
        <v>4200</v>
      </c>
      <c r="J5" s="19" t="n">
        <v>4200</v>
      </c>
      <c r="K5" s="21">
        <f>I5-J5</f>
        <v/>
      </c>
      <c r="L5" s="22">
        <f>I5-G5</f>
        <v/>
      </c>
      <c r="M5" s="20">
        <f>IFERROR(L5/I5,0)</f>
        <v/>
      </c>
      <c r="N5" s="23">
        <f>IF(C5="הושלם","-",IF(TODAY()&gt;E5,"פיגור",IF(H5&gt;0.1,"חריגת תקציב",IF(M5&lt;0.15,"מרג'ין נמוך","תקין"))))</f>
        <v/>
      </c>
      <c r="O5" s="24" t="inlineStr"/>
    </row>
    <row r="6">
      <c r="A6" s="15" t="inlineStr">
        <is>
          <t>התקנת מיזוג 3 יח'</t>
        </is>
      </c>
      <c r="B6" s="15" t="inlineStr">
        <is>
          <t>מסעדת האורן</t>
        </is>
      </c>
      <c r="C6" s="16" t="inlineStr">
        <is>
          <t>בביצוע</t>
        </is>
      </c>
      <c r="D6" s="17" t="n">
        <v>0.3</v>
      </c>
      <c r="E6" s="18" t="n">
        <v>46068</v>
      </c>
      <c r="F6" s="19" t="n">
        <v>8500</v>
      </c>
      <c r="G6" s="19" t="n">
        <v>7900</v>
      </c>
      <c r="H6" s="20">
        <f>IFERROR((G6-F6)/F6,0)</f>
        <v/>
      </c>
      <c r="I6" s="19" t="n">
        <v>13500</v>
      </c>
      <c r="J6" s="19" t="n">
        <v>5000</v>
      </c>
      <c r="K6" s="21">
        <f>I6-J6</f>
        <v/>
      </c>
      <c r="L6" s="22">
        <f>I6-G6</f>
        <v/>
      </c>
      <c r="M6" s="20">
        <f>IFERROR(L6/I6,0)</f>
        <v/>
      </c>
      <c r="N6" s="23">
        <f>IF(C6="הושלם","-",IF(TODAY()&gt;E6,"פיגור",IF(H6&gt;0.1,"חריגת תקציב",IF(M6&lt;0.15,"מרג'ין נמוך","תקין"))))</f>
        <v/>
      </c>
      <c r="O6" s="24" t="inlineStr"/>
    </row>
    <row r="7">
      <c r="A7" s="15" t="inlineStr">
        <is>
          <t>איטום גג</t>
        </is>
      </c>
      <c r="B7" s="15" t="inlineStr">
        <is>
          <t>בניין משותף רוטשילד</t>
        </is>
      </c>
      <c r="C7" s="16" t="inlineStr">
        <is>
          <t>הושלם</t>
        </is>
      </c>
      <c r="D7" s="17" t="n">
        <v>1</v>
      </c>
      <c r="E7" s="18" t="n">
        <v>46020</v>
      </c>
      <c r="F7" s="19" t="n">
        <v>8200</v>
      </c>
      <c r="G7" s="19" t="n">
        <v>8600</v>
      </c>
      <c r="H7" s="20">
        <f>IFERROR((G7-F7)/F7,0)</f>
        <v/>
      </c>
      <c r="I7" s="19" t="n">
        <v>10000</v>
      </c>
      <c r="J7" s="19" t="n">
        <v>10000</v>
      </c>
      <c r="K7" s="21">
        <f>I7-J7</f>
        <v/>
      </c>
      <c r="L7" s="22">
        <f>I7-G7</f>
        <v/>
      </c>
      <c r="M7" s="20">
        <f>IFERROR(L7/I7,0)</f>
        <v/>
      </c>
      <c r="N7" s="23">
        <f>IF(C7="הושלם","-",IF(TODAY()&gt;E7,"פיגור",IF(H7&gt;0.1,"חריגת תקציב",IF(M7&lt;0.15,"מרג'ין נמוך","תקין"))))</f>
        <v/>
      </c>
      <c r="O7" s="24" t="inlineStr"/>
    </row>
    <row r="8">
      <c r="A8" s="15" t="inlineStr">
        <is>
          <t>ריצוף חדר אמבטיה</t>
        </is>
      </c>
      <c r="B8" s="15" t="inlineStr">
        <is>
          <t>דירת גורן</t>
        </is>
      </c>
      <c r="C8" s="16" t="inlineStr">
        <is>
          <t>ממתין</t>
        </is>
      </c>
      <c r="D8" s="17" t="n">
        <v>0</v>
      </c>
      <c r="E8" s="18" t="n">
        <v>46078</v>
      </c>
      <c r="F8" s="19" t="n">
        <v>3200</v>
      </c>
      <c r="G8" s="19" t="n">
        <v>0</v>
      </c>
      <c r="H8" s="20">
        <f>IFERROR((G8-F8)/F8,0)</f>
        <v/>
      </c>
      <c r="I8" s="19" t="n">
        <v>8500</v>
      </c>
      <c r="J8" s="19" t="n">
        <v>0</v>
      </c>
      <c r="K8" s="21">
        <f>I8-J8</f>
        <v/>
      </c>
      <c r="L8" s="22">
        <f>I8-G8</f>
        <v/>
      </c>
      <c r="M8" s="20">
        <f>IFERROR(L8/I8,0)</f>
        <v/>
      </c>
      <c r="N8" s="23">
        <f>IF(C8="הושלם","-",IF(TODAY()&gt;E8,"פיגור",IF(H8&gt;0.1,"חריגת תקציב",IF(M8&lt;0.15,"מרג'ין נמוך","תקין"))))</f>
        <v/>
      </c>
      <c r="O8" s="24" t="inlineStr"/>
    </row>
    <row r="9">
      <c r="A9" s="25" t="n"/>
      <c r="B9" s="25" t="n"/>
      <c r="C9" s="25" t="n"/>
      <c r="D9" s="26" t="n"/>
      <c r="E9" s="27" t="n"/>
      <c r="F9" s="28" t="n"/>
      <c r="G9" s="28" t="n"/>
      <c r="H9" s="29">
        <f>IF(A9="","",IFERROR((G9-F9)/F9,0))</f>
        <v/>
      </c>
      <c r="I9" s="28" t="n"/>
      <c r="J9" s="28" t="n"/>
      <c r="K9" s="30">
        <f>IF(A9="","",I9-J9)</f>
        <v/>
      </c>
      <c r="L9" s="30">
        <f>IF(A9="","",I9-G9)</f>
        <v/>
      </c>
      <c r="M9" s="29">
        <f>IF(A9="","",IFERROR(L9/I9,0))</f>
        <v/>
      </c>
      <c r="N9" s="31">
        <f>IF(A9="","",IF(C9="הושלם","-",IF(TODAY()&gt;E9,"פיגור",IF(H9&gt;0.1,"חריגת תקציב",IF(M9&lt;0.15,"מרג'ין נמוך","תקין")))))</f>
        <v/>
      </c>
      <c r="O9" s="25" t="n"/>
    </row>
    <row r="10">
      <c r="A10" s="25" t="n"/>
      <c r="B10" s="25" t="n"/>
      <c r="C10" s="25" t="n"/>
      <c r="D10" s="26" t="n"/>
      <c r="E10" s="27" t="n"/>
      <c r="F10" s="28" t="n"/>
      <c r="G10" s="28" t="n"/>
      <c r="H10" s="29">
        <f>IF(A10="","",IFERROR((G10-F10)/F10,0))</f>
        <v/>
      </c>
      <c r="I10" s="28" t="n"/>
      <c r="J10" s="28" t="n"/>
      <c r="K10" s="30">
        <f>IF(A10="","",I10-J10)</f>
        <v/>
      </c>
      <c r="L10" s="30">
        <f>IF(A10="","",I10-G10)</f>
        <v/>
      </c>
      <c r="M10" s="29">
        <f>IF(A10="","",IFERROR(L10/I10,0))</f>
        <v/>
      </c>
      <c r="N10" s="31">
        <f>IF(A10="","",IF(C10="הושלם","-",IF(TODAY()&gt;E10,"פיגור",IF(H10&gt;0.1,"חריגת תקציב",IF(M10&lt;0.15,"מרג'ין נמוך","תקין")))))</f>
        <v/>
      </c>
      <c r="O10" s="25" t="n"/>
    </row>
    <row r="11">
      <c r="A11" s="25" t="n"/>
      <c r="B11" s="25" t="n"/>
      <c r="C11" s="25" t="n"/>
      <c r="D11" s="26" t="n"/>
      <c r="E11" s="27" t="n"/>
      <c r="F11" s="28" t="n"/>
      <c r="G11" s="28" t="n"/>
      <c r="H11" s="29">
        <f>IF(A11="","",IFERROR((G11-F11)/F11,0))</f>
        <v/>
      </c>
      <c r="I11" s="28" t="n"/>
      <c r="J11" s="28" t="n"/>
      <c r="K11" s="30">
        <f>IF(A11="","",I11-J11)</f>
        <v/>
      </c>
      <c r="L11" s="30">
        <f>IF(A11="","",I11-G11)</f>
        <v/>
      </c>
      <c r="M11" s="29">
        <f>IF(A11="","",IFERROR(L11/I11,0))</f>
        <v/>
      </c>
      <c r="N11" s="31">
        <f>IF(A11="","",IF(C11="הושלם","-",IF(TODAY()&gt;E11,"פיגור",IF(H11&gt;0.1,"חריגת תקציב",IF(M11&lt;0.15,"מרג'ין נמוך","תקין")))))</f>
        <v/>
      </c>
      <c r="O11" s="25" t="n"/>
    </row>
    <row r="12">
      <c r="A12" s="25" t="n"/>
      <c r="B12" s="25" t="n"/>
      <c r="C12" s="25" t="n"/>
      <c r="D12" s="26" t="n"/>
      <c r="E12" s="27" t="n"/>
      <c r="F12" s="28" t="n"/>
      <c r="G12" s="28" t="n"/>
      <c r="H12" s="29">
        <f>IF(A12="","",IFERROR((G12-F12)/F12,0))</f>
        <v/>
      </c>
      <c r="I12" s="28" t="n"/>
      <c r="J12" s="28" t="n"/>
      <c r="K12" s="30">
        <f>IF(A12="","",I12-J12)</f>
        <v/>
      </c>
      <c r="L12" s="30">
        <f>IF(A12="","",I12-G12)</f>
        <v/>
      </c>
      <c r="M12" s="29">
        <f>IF(A12="","",IFERROR(L12/I12,0))</f>
        <v/>
      </c>
      <c r="N12" s="31">
        <f>IF(A12="","",IF(C12="הושלם","-",IF(TODAY()&gt;E12,"פיגור",IF(H12&gt;0.1,"חריגת תקציב",IF(M12&lt;0.15,"מרג'ין נמוך","תקין")))))</f>
        <v/>
      </c>
      <c r="O12" s="25" t="n"/>
    </row>
    <row r="13">
      <c r="A13" s="25" t="n"/>
      <c r="B13" s="25" t="n"/>
      <c r="C13" s="25" t="n"/>
      <c r="D13" s="26" t="n"/>
      <c r="E13" s="27" t="n"/>
      <c r="F13" s="28" t="n"/>
      <c r="G13" s="28" t="n"/>
      <c r="H13" s="29">
        <f>IF(A13="","",IFERROR((G13-F13)/F13,0))</f>
        <v/>
      </c>
      <c r="I13" s="28" t="n"/>
      <c r="J13" s="28" t="n"/>
      <c r="K13" s="30">
        <f>IF(A13="","",I13-J13)</f>
        <v/>
      </c>
      <c r="L13" s="30">
        <f>IF(A13="","",I13-G13)</f>
        <v/>
      </c>
      <c r="M13" s="29">
        <f>IF(A13="","",IFERROR(L13/I13,0))</f>
        <v/>
      </c>
      <c r="N13" s="31">
        <f>IF(A13="","",IF(C13="הושלם","-",IF(TODAY()&gt;E13,"פיגור",IF(H13&gt;0.1,"חריגת תקציב",IF(M13&lt;0.15,"מרג'ין נמוך","תקין")))))</f>
        <v/>
      </c>
      <c r="O13" s="25" t="n"/>
    </row>
    <row r="14">
      <c r="A14" s="25" t="n"/>
      <c r="B14" s="25" t="n"/>
      <c r="C14" s="25" t="n"/>
      <c r="D14" s="26" t="n"/>
      <c r="E14" s="27" t="n"/>
      <c r="F14" s="28" t="n"/>
      <c r="G14" s="28" t="n"/>
      <c r="H14" s="29">
        <f>IF(A14="","",IFERROR((G14-F14)/F14,0))</f>
        <v/>
      </c>
      <c r="I14" s="28" t="n"/>
      <c r="J14" s="28" t="n"/>
      <c r="K14" s="30">
        <f>IF(A14="","",I14-J14)</f>
        <v/>
      </c>
      <c r="L14" s="30">
        <f>IF(A14="","",I14-G14)</f>
        <v/>
      </c>
      <c r="M14" s="29">
        <f>IF(A14="","",IFERROR(L14/I14,0))</f>
        <v/>
      </c>
      <c r="N14" s="31">
        <f>IF(A14="","",IF(C14="הושלם","-",IF(TODAY()&gt;E14,"פיגור",IF(H14&gt;0.1,"חריגת תקציב",IF(M14&lt;0.15,"מרג'ין נמוך","תקין")))))</f>
        <v/>
      </c>
      <c r="O14" s="25" t="n"/>
    </row>
    <row r="15">
      <c r="A15" s="25" t="n"/>
      <c r="B15" s="25" t="n"/>
      <c r="C15" s="25" t="n"/>
      <c r="D15" s="26" t="n"/>
      <c r="E15" s="27" t="n"/>
      <c r="F15" s="28" t="n"/>
      <c r="G15" s="28" t="n"/>
      <c r="H15" s="29">
        <f>IF(A15="","",IFERROR((G15-F15)/F15,0))</f>
        <v/>
      </c>
      <c r="I15" s="28" t="n"/>
      <c r="J15" s="28" t="n"/>
      <c r="K15" s="30">
        <f>IF(A15="","",I15-J15)</f>
        <v/>
      </c>
      <c r="L15" s="30">
        <f>IF(A15="","",I15-G15)</f>
        <v/>
      </c>
      <c r="M15" s="29">
        <f>IF(A15="","",IFERROR(L15/I15,0))</f>
        <v/>
      </c>
      <c r="N15" s="31">
        <f>IF(A15="","",IF(C15="הושלם","-",IF(TODAY()&gt;E15,"פיגור",IF(H15&gt;0.1,"חריגת תקציב",IF(M15&lt;0.15,"מרג'ין נמוך","תקין")))))</f>
        <v/>
      </c>
      <c r="O15" s="25" t="n"/>
    </row>
    <row r="16">
      <c r="A16" s="25" t="n"/>
      <c r="B16" s="25" t="n"/>
      <c r="C16" s="25" t="n"/>
      <c r="D16" s="26" t="n"/>
      <c r="E16" s="27" t="n"/>
      <c r="F16" s="28" t="n"/>
      <c r="G16" s="28" t="n"/>
      <c r="H16" s="29">
        <f>IF(A16="","",IFERROR((G16-F16)/F16,0))</f>
        <v/>
      </c>
      <c r="I16" s="28" t="n"/>
      <c r="J16" s="28" t="n"/>
      <c r="K16" s="30">
        <f>IF(A16="","",I16-J16)</f>
        <v/>
      </c>
      <c r="L16" s="30">
        <f>IF(A16="","",I16-G16)</f>
        <v/>
      </c>
      <c r="M16" s="29">
        <f>IF(A16="","",IFERROR(L16/I16,0))</f>
        <v/>
      </c>
      <c r="N16" s="31">
        <f>IF(A16="","",IF(C16="הושלם","-",IF(TODAY()&gt;E16,"פיגור",IF(H16&gt;0.1,"חריגת תקציב",IF(M16&lt;0.15,"מרג'ין נמוך","תקין")))))</f>
        <v/>
      </c>
      <c r="O16" s="25" t="n"/>
    </row>
    <row r="17">
      <c r="A17" s="25" t="n"/>
      <c r="B17" s="25" t="n"/>
      <c r="C17" s="25" t="n"/>
      <c r="D17" s="26" t="n"/>
      <c r="E17" s="27" t="n"/>
      <c r="F17" s="28" t="n"/>
      <c r="G17" s="28" t="n"/>
      <c r="H17" s="29">
        <f>IF(A17="","",IFERROR((G17-F17)/F17,0))</f>
        <v/>
      </c>
      <c r="I17" s="28" t="n"/>
      <c r="J17" s="28" t="n"/>
      <c r="K17" s="30">
        <f>IF(A17="","",I17-J17)</f>
        <v/>
      </c>
      <c r="L17" s="30">
        <f>IF(A17="","",I17-G17)</f>
        <v/>
      </c>
      <c r="M17" s="29">
        <f>IF(A17="","",IFERROR(L17/I17,0))</f>
        <v/>
      </c>
      <c r="N17" s="31">
        <f>IF(A17="","",IF(C17="הושלם","-",IF(TODAY()&gt;E17,"פיגור",IF(H17&gt;0.1,"חריגת תקציב",IF(M17&lt;0.15,"מרג'ין נמוך","תקין")))))</f>
        <v/>
      </c>
      <c r="O17" s="25" t="n"/>
    </row>
    <row r="18">
      <c r="A18" s="25" t="n"/>
      <c r="B18" s="25" t="n"/>
      <c r="C18" s="25" t="n"/>
      <c r="D18" s="26" t="n"/>
      <c r="E18" s="27" t="n"/>
      <c r="F18" s="28" t="n"/>
      <c r="G18" s="28" t="n"/>
      <c r="H18" s="29">
        <f>IF(A18="","",IFERROR((G18-F18)/F18,0))</f>
        <v/>
      </c>
      <c r="I18" s="28" t="n"/>
      <c r="J18" s="28" t="n"/>
      <c r="K18" s="30">
        <f>IF(A18="","",I18-J18)</f>
        <v/>
      </c>
      <c r="L18" s="30">
        <f>IF(A18="","",I18-G18)</f>
        <v/>
      </c>
      <c r="M18" s="29">
        <f>IF(A18="","",IFERROR(L18/I18,0))</f>
        <v/>
      </c>
      <c r="N18" s="31">
        <f>IF(A18="","",IF(C18="הושלם","-",IF(TODAY()&gt;E18,"פיגור",IF(H18&gt;0.1,"חריגת תקציב",IF(M18&lt;0.15,"מרג'ין נמוך","תקין")))))</f>
        <v/>
      </c>
      <c r="O18" s="25" t="n"/>
    </row>
    <row r="19">
      <c r="A19" s="25" t="n"/>
      <c r="B19" s="25" t="n"/>
      <c r="C19" s="25" t="n"/>
      <c r="D19" s="26" t="n"/>
      <c r="E19" s="27" t="n"/>
      <c r="F19" s="28" t="n"/>
      <c r="G19" s="28" t="n"/>
      <c r="H19" s="29">
        <f>IF(A19="","",IFERROR((G19-F19)/F19,0))</f>
        <v/>
      </c>
      <c r="I19" s="28" t="n"/>
      <c r="J19" s="28" t="n"/>
      <c r="K19" s="30">
        <f>IF(A19="","",I19-J19)</f>
        <v/>
      </c>
      <c r="L19" s="30">
        <f>IF(A19="","",I19-G19)</f>
        <v/>
      </c>
      <c r="M19" s="29">
        <f>IF(A19="","",IFERROR(L19/I19,0))</f>
        <v/>
      </c>
      <c r="N19" s="31">
        <f>IF(A19="","",IF(C19="הושלם","-",IF(TODAY()&gt;E19,"פיגור",IF(H19&gt;0.1,"חריגת תקציב",IF(M19&lt;0.15,"מרג'ין נמוך","תקין")))))</f>
        <v/>
      </c>
      <c r="O19" s="25" t="n"/>
    </row>
    <row r="20">
      <c r="A20" s="25" t="n"/>
      <c r="B20" s="25" t="n"/>
      <c r="C20" s="25" t="n"/>
      <c r="D20" s="26" t="n"/>
      <c r="E20" s="27" t="n"/>
      <c r="F20" s="28" t="n"/>
      <c r="G20" s="28" t="n"/>
      <c r="H20" s="29">
        <f>IF(A20="","",IFERROR((G20-F20)/F20,0))</f>
        <v/>
      </c>
      <c r="I20" s="28" t="n"/>
      <c r="J20" s="28" t="n"/>
      <c r="K20" s="30">
        <f>IF(A20="","",I20-J20)</f>
        <v/>
      </c>
      <c r="L20" s="30">
        <f>IF(A20="","",I20-G20)</f>
        <v/>
      </c>
      <c r="M20" s="29">
        <f>IF(A20="","",IFERROR(L20/I20,0))</f>
        <v/>
      </c>
      <c r="N20" s="31">
        <f>IF(A20="","",IF(C20="הושלם","-",IF(TODAY()&gt;E20,"פיגור",IF(H20&gt;0.1,"חריגת תקציב",IF(M20&lt;0.15,"מרג'ין נמוך","תקין")))))</f>
        <v/>
      </c>
      <c r="O20" s="25" t="n"/>
    </row>
    <row r="21">
      <c r="A21" s="25" t="n"/>
      <c r="B21" s="25" t="n"/>
      <c r="C21" s="25" t="n"/>
      <c r="D21" s="26" t="n"/>
      <c r="E21" s="27" t="n"/>
      <c r="F21" s="28" t="n"/>
      <c r="G21" s="28" t="n"/>
      <c r="H21" s="29">
        <f>IF(A21="","",IFERROR((G21-F21)/F21,0))</f>
        <v/>
      </c>
      <c r="I21" s="28" t="n"/>
      <c r="J21" s="28" t="n"/>
      <c r="K21" s="30">
        <f>IF(A21="","",I21-J21)</f>
        <v/>
      </c>
      <c r="L21" s="30">
        <f>IF(A21="","",I21-G21)</f>
        <v/>
      </c>
      <c r="M21" s="29">
        <f>IF(A21="","",IFERROR(L21/I21,0))</f>
        <v/>
      </c>
      <c r="N21" s="31">
        <f>IF(A21="","",IF(C21="הושלם","-",IF(TODAY()&gt;E21,"פיגור",IF(H21&gt;0.1,"חריגת תקציב",IF(M21&lt;0.15,"מרג'ין נמוך","תקין")))))</f>
        <v/>
      </c>
      <c r="O21" s="25" t="n"/>
    </row>
    <row r="22">
      <c r="A22" s="25" t="n"/>
      <c r="B22" s="25" t="n"/>
      <c r="C22" s="25" t="n"/>
      <c r="D22" s="26" t="n"/>
      <c r="E22" s="27" t="n"/>
      <c r="F22" s="28" t="n"/>
      <c r="G22" s="28" t="n"/>
      <c r="H22" s="29">
        <f>IF(A22="","",IFERROR((G22-F22)/F22,0))</f>
        <v/>
      </c>
      <c r="I22" s="28" t="n"/>
      <c r="J22" s="28" t="n"/>
      <c r="K22" s="30">
        <f>IF(A22="","",I22-J22)</f>
        <v/>
      </c>
      <c r="L22" s="30">
        <f>IF(A22="","",I22-G22)</f>
        <v/>
      </c>
      <c r="M22" s="29">
        <f>IF(A22="","",IFERROR(L22/I22,0))</f>
        <v/>
      </c>
      <c r="N22" s="31">
        <f>IF(A22="","",IF(C22="הושלם","-",IF(TODAY()&gt;E22,"פיגור",IF(H22&gt;0.1,"חריגת תקציב",IF(M22&lt;0.15,"מרג'ין נמוך","תקין")))))</f>
        <v/>
      </c>
      <c r="O22" s="25" t="n"/>
    </row>
    <row r="23">
      <c r="A23" s="25" t="n"/>
      <c r="B23" s="25" t="n"/>
      <c r="C23" s="25" t="n"/>
      <c r="D23" s="26" t="n"/>
      <c r="E23" s="27" t="n"/>
      <c r="F23" s="28" t="n"/>
      <c r="G23" s="28" t="n"/>
      <c r="H23" s="29">
        <f>IF(A23="","",IFERROR((G23-F23)/F23,0))</f>
        <v/>
      </c>
      <c r="I23" s="28" t="n"/>
      <c r="J23" s="28" t="n"/>
      <c r="K23" s="30">
        <f>IF(A23="","",I23-J23)</f>
        <v/>
      </c>
      <c r="L23" s="30">
        <f>IF(A23="","",I23-G23)</f>
        <v/>
      </c>
      <c r="M23" s="29">
        <f>IF(A23="","",IFERROR(L23/I23,0))</f>
        <v/>
      </c>
      <c r="N23" s="31">
        <f>IF(A23="","",IF(C23="הושלם","-",IF(TODAY()&gt;E23,"פיגור",IF(H23&gt;0.1,"חריגת תקציב",IF(M23&lt;0.15,"מרג'ין נמוך","תקין")))))</f>
        <v/>
      </c>
      <c r="O23" s="25" t="n"/>
    </row>
    <row r="24">
      <c r="A24" s="25" t="n"/>
      <c r="B24" s="25" t="n"/>
      <c r="C24" s="25" t="n"/>
      <c r="D24" s="26" t="n"/>
      <c r="E24" s="27" t="n"/>
      <c r="F24" s="28" t="n"/>
      <c r="G24" s="28" t="n"/>
      <c r="H24" s="29">
        <f>IF(A24="","",IFERROR((G24-F24)/F24,0))</f>
        <v/>
      </c>
      <c r="I24" s="28" t="n"/>
      <c r="J24" s="28" t="n"/>
      <c r="K24" s="30">
        <f>IF(A24="","",I24-J24)</f>
        <v/>
      </c>
      <c r="L24" s="30">
        <f>IF(A24="","",I24-G24)</f>
        <v/>
      </c>
      <c r="M24" s="29">
        <f>IF(A24="","",IFERROR(L24/I24,0))</f>
        <v/>
      </c>
      <c r="N24" s="31">
        <f>IF(A24="","",IF(C24="הושלם","-",IF(TODAY()&gt;E24,"פיגור",IF(H24&gt;0.1,"חריגת תקציב",IF(M24&lt;0.15,"מרג'ין נמוך","תקין")))))</f>
        <v/>
      </c>
      <c r="O24" s="25" t="n"/>
    </row>
    <row r="25">
      <c r="A25" s="25" t="n"/>
      <c r="B25" s="25" t="n"/>
      <c r="C25" s="25" t="n"/>
      <c r="D25" s="26" t="n"/>
      <c r="E25" s="27" t="n"/>
      <c r="F25" s="28" t="n"/>
      <c r="G25" s="28" t="n"/>
      <c r="H25" s="29">
        <f>IF(A25="","",IFERROR((G25-F25)/F25,0))</f>
        <v/>
      </c>
      <c r="I25" s="28" t="n"/>
      <c r="J25" s="28" t="n"/>
      <c r="K25" s="30">
        <f>IF(A25="","",I25-J25)</f>
        <v/>
      </c>
      <c r="L25" s="30">
        <f>IF(A25="","",I25-G25)</f>
        <v/>
      </c>
      <c r="M25" s="29">
        <f>IF(A25="","",IFERROR(L25/I25,0))</f>
        <v/>
      </c>
      <c r="N25" s="31">
        <f>IF(A25="","",IF(C25="הושלם","-",IF(TODAY()&gt;E25,"פיגור",IF(H25&gt;0.1,"חריגת תקציב",IF(M25&lt;0.15,"מרג'ין נמוך","תקין")))))</f>
        <v/>
      </c>
      <c r="O25" s="25" t="n"/>
    </row>
    <row r="26">
      <c r="A26" s="25" t="n"/>
      <c r="B26" s="25" t="n"/>
      <c r="C26" s="25" t="n"/>
      <c r="D26" s="26" t="n"/>
      <c r="E26" s="27" t="n"/>
      <c r="F26" s="28" t="n"/>
      <c r="G26" s="28" t="n"/>
      <c r="H26" s="29">
        <f>IF(A26="","",IFERROR((G26-F26)/F26,0))</f>
        <v/>
      </c>
      <c r="I26" s="28" t="n"/>
      <c r="J26" s="28" t="n"/>
      <c r="K26" s="30">
        <f>IF(A26="","",I26-J26)</f>
        <v/>
      </c>
      <c r="L26" s="30">
        <f>IF(A26="","",I26-G26)</f>
        <v/>
      </c>
      <c r="M26" s="29">
        <f>IF(A26="","",IFERROR(L26/I26,0))</f>
        <v/>
      </c>
      <c r="N26" s="31">
        <f>IF(A26="","",IF(C26="הושלם","-",IF(TODAY()&gt;E26,"פיגור",IF(H26&gt;0.1,"חריגת תקציב",IF(M26&lt;0.15,"מרג'ין נמוך","תקין")))))</f>
        <v/>
      </c>
      <c r="O26" s="25" t="n"/>
    </row>
    <row r="27">
      <c r="A27" s="25" t="n"/>
      <c r="B27" s="25" t="n"/>
      <c r="C27" s="25" t="n"/>
      <c r="D27" s="26" t="n"/>
      <c r="E27" s="27" t="n"/>
      <c r="F27" s="28" t="n"/>
      <c r="G27" s="28" t="n"/>
      <c r="H27" s="29">
        <f>IF(A27="","",IFERROR((G27-F27)/F27,0))</f>
        <v/>
      </c>
      <c r="I27" s="28" t="n"/>
      <c r="J27" s="28" t="n"/>
      <c r="K27" s="30">
        <f>IF(A27="","",I27-J27)</f>
        <v/>
      </c>
      <c r="L27" s="30">
        <f>IF(A27="","",I27-G27)</f>
        <v/>
      </c>
      <c r="M27" s="29">
        <f>IF(A27="","",IFERROR(L27/I27,0))</f>
        <v/>
      </c>
      <c r="N27" s="31">
        <f>IF(A27="","",IF(C27="הושלם","-",IF(TODAY()&gt;E27,"פיגור",IF(H27&gt;0.1,"חריגת תקציב",IF(M27&lt;0.15,"מרג'ין נמוך","תקין")))))</f>
        <v/>
      </c>
      <c r="O27" s="25" t="n"/>
    </row>
    <row r="28">
      <c r="A28" s="25" t="n"/>
      <c r="B28" s="25" t="n"/>
      <c r="C28" s="25" t="n"/>
      <c r="D28" s="26" t="n"/>
      <c r="E28" s="27" t="n"/>
      <c r="F28" s="28" t="n"/>
      <c r="G28" s="28" t="n"/>
      <c r="H28" s="29">
        <f>IF(A28="","",IFERROR((G28-F28)/F28,0))</f>
        <v/>
      </c>
      <c r="I28" s="28" t="n"/>
      <c r="J28" s="28" t="n"/>
      <c r="K28" s="30">
        <f>IF(A28="","",I28-J28)</f>
        <v/>
      </c>
      <c r="L28" s="30">
        <f>IF(A28="","",I28-G28)</f>
        <v/>
      </c>
      <c r="M28" s="29">
        <f>IF(A28="","",IFERROR(L28/I28,0))</f>
        <v/>
      </c>
      <c r="N28" s="31">
        <f>IF(A28="","",IF(C28="הושלם","-",IF(TODAY()&gt;E28,"פיגור",IF(H28&gt;0.1,"חריגת תקציב",IF(M28&lt;0.15,"מרג'ין נמוך","תקין")))))</f>
        <v/>
      </c>
      <c r="O28" s="25" t="n"/>
    </row>
  </sheetData>
  <mergeCells count="2">
    <mergeCell ref="A1:O1"/>
    <mergeCell ref="A2:O2"/>
  </mergeCells>
  <conditionalFormatting sqref="N4:N28">
    <cfRule type="expression" priority="1" dxfId="0">
      <formula>$N4="תקין"</formula>
    </cfRule>
    <cfRule type="expression" priority="2" dxfId="1">
      <formula>OR($N4="מרג'ין נמוך")</formula>
    </cfRule>
    <cfRule type="expression" priority="3" dxfId="2">
      <formula>OR($N4="חריגת תקציב",$N4="פיגור")</formula>
    </cfRule>
  </conditionalFormatting>
  <dataValidations count="1">
    <dataValidation sqref="C4:C28" showDropDown="0" showInputMessage="0" showErrorMessage="0" allowBlank="1" type="list">
      <formula1>"טרם החל,בביצוע,ממתין,הושלם,בוטל"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EAF7"/>
    <outlinePr summaryBelow="1" summaryRight="1"/>
    <pageSetUpPr/>
  </sheetPr>
  <dimension ref="A1:H2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12" customWidth="1" min="5" max="5"/>
    <col width="10" customWidth="1" min="6" max="6"/>
    <col width="13" customWidth="1" min="7" max="7"/>
    <col width="16" customWidth="1" min="8" max="8"/>
  </cols>
  <sheetData>
    <row r="1" ht="44" customHeight="1">
      <c r="A1" s="13" t="inlineStr">
        <is>
          <t>מכירות ולידים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תמצית צינור המכירות — לניהול לידים מלא ראו את מוצר 7 (ניהול לקוחות ולידים)</t>
        </is>
      </c>
      <c r="B2" s="4" t="n"/>
      <c r="C2" s="4" t="n"/>
      <c r="D2" s="4" t="n"/>
      <c r="E2" s="4" t="n"/>
      <c r="F2" s="4" t="n"/>
      <c r="G2" s="4" t="n"/>
      <c r="H2" s="4" t="n"/>
    </row>
    <row r="3" ht="34" customHeight="1">
      <c r="A3" s="14" t="inlineStr">
        <is>
          <t>שם ליד</t>
        </is>
      </c>
      <c r="B3" s="14" t="inlineStr">
        <is>
          <t>סוג עבודה / פרויקט פוטנציאלי</t>
        </is>
      </c>
      <c r="C3" s="14" t="inlineStr">
        <is>
          <t>אזור</t>
        </is>
      </c>
      <c r="D3" s="14" t="inlineStr">
        <is>
          <t>סכום פוטנציאלי (₪)</t>
        </is>
      </c>
      <c r="E3" s="14" t="inlineStr">
        <is>
          <t>סטטוס</t>
        </is>
      </c>
      <c r="F3" s="14" t="inlineStr">
        <is>
          <t>חום ליד</t>
        </is>
      </c>
      <c r="G3" s="14" t="inlineStr">
        <is>
          <t>פולואפ הבא</t>
        </is>
      </c>
      <c r="H3" s="14" t="inlineStr">
        <is>
          <t>הערות</t>
        </is>
      </c>
    </row>
    <row r="4">
      <c r="A4" s="15" t="inlineStr">
        <is>
          <t>יוסי מזרחי</t>
        </is>
      </c>
      <c r="B4" s="15" t="inlineStr">
        <is>
          <t>שיפוץ מטבח</t>
        </is>
      </c>
      <c r="C4" s="16" t="inlineStr">
        <is>
          <t>תל אביב</t>
        </is>
      </c>
      <c r="D4" s="19" t="n">
        <v>25000</v>
      </c>
      <c r="E4" s="16" t="inlineStr">
        <is>
          <t>הצעת מחיר נשלחה</t>
        </is>
      </c>
      <c r="F4" s="16" t="inlineStr">
        <is>
          <t>חם</t>
        </is>
      </c>
      <c r="G4" s="18" t="n">
        <v>46042</v>
      </c>
      <c r="H4" s="15" t="inlineStr"/>
    </row>
    <row r="5">
      <c r="A5" s="15" t="inlineStr">
        <is>
          <t>רחל שמעוני</t>
        </is>
      </c>
      <c r="B5" s="15" t="inlineStr">
        <is>
          <t>החלפת לוח חשמל</t>
        </is>
      </c>
      <c r="C5" s="16" t="inlineStr">
        <is>
          <t>רמת גן</t>
        </is>
      </c>
      <c r="D5" s="19" t="n">
        <v>4200</v>
      </c>
      <c r="E5" s="16" t="inlineStr">
        <is>
          <t>נסגר בהצלחה</t>
        </is>
      </c>
      <c r="F5" s="16" t="inlineStr">
        <is>
          <t>חם</t>
        </is>
      </c>
      <c r="G5" s="18" t="n"/>
      <c r="H5" s="15" t="inlineStr"/>
    </row>
    <row r="6">
      <c r="A6" s="15" t="inlineStr">
        <is>
          <t>אבי כהן</t>
        </is>
      </c>
      <c r="B6" s="15" t="inlineStr">
        <is>
          <t>התקנת מיזוג</t>
        </is>
      </c>
      <c r="C6" s="16" t="inlineStr">
        <is>
          <t>חולון</t>
        </is>
      </c>
      <c r="D6" s="19" t="n">
        <v>8500</v>
      </c>
      <c r="E6" s="16" t="inlineStr">
        <is>
          <t>נקבעה פגישה</t>
        </is>
      </c>
      <c r="F6" s="16" t="inlineStr">
        <is>
          <t>פושר</t>
        </is>
      </c>
      <c r="G6" s="18" t="n">
        <v>46040</v>
      </c>
      <c r="H6" s="15" t="inlineStr"/>
    </row>
    <row r="7">
      <c r="A7" s="15" t="inlineStr">
        <is>
          <t>נועה בר</t>
        </is>
      </c>
      <c r="B7" s="15" t="inlineStr">
        <is>
          <t>איטום גג</t>
        </is>
      </c>
      <c r="C7" s="16" t="inlineStr">
        <is>
          <t>בת ים</t>
        </is>
      </c>
      <c r="D7" s="19" t="n">
        <v>6800</v>
      </c>
      <c r="E7" s="16" t="inlineStr">
        <is>
          <t>ליד חדש</t>
        </is>
      </c>
      <c r="F7" s="16" t="inlineStr">
        <is>
          <t>פושר</t>
        </is>
      </c>
      <c r="G7" s="18" t="n">
        <v>46044</v>
      </c>
      <c r="H7" s="15" t="inlineStr"/>
    </row>
    <row r="8">
      <c r="A8" s="15" t="inlineStr">
        <is>
          <t>שרה גולן</t>
        </is>
      </c>
      <c r="B8" s="15" t="inlineStr">
        <is>
          <t>ריצוף אמבטיה</t>
        </is>
      </c>
      <c r="C8" s="16" t="inlineStr">
        <is>
          <t>גבעתיים</t>
        </is>
      </c>
      <c r="D8" s="19" t="n">
        <v>7500</v>
      </c>
      <c r="E8" s="16" t="inlineStr">
        <is>
          <t>אבדנו</t>
        </is>
      </c>
      <c r="F8" s="16" t="inlineStr">
        <is>
          <t>קר</t>
        </is>
      </c>
      <c r="G8" s="18" t="n"/>
      <c r="H8" s="15" t="inlineStr"/>
    </row>
    <row r="9">
      <c r="A9" s="25" t="n"/>
      <c r="B9" s="25" t="n"/>
      <c r="C9" s="25" t="n"/>
      <c r="D9" s="28" t="n"/>
      <c r="E9" s="25" t="n"/>
      <c r="F9" s="25" t="n"/>
      <c r="G9" s="27" t="n"/>
      <c r="H9" s="25" t="n"/>
    </row>
    <row r="10">
      <c r="A10" s="25" t="n"/>
      <c r="B10" s="25" t="n"/>
      <c r="C10" s="25" t="n"/>
      <c r="D10" s="28" t="n"/>
      <c r="E10" s="25" t="n"/>
      <c r="F10" s="25" t="n"/>
      <c r="G10" s="27" t="n"/>
      <c r="H10" s="25" t="n"/>
    </row>
    <row r="11">
      <c r="A11" s="25" t="n"/>
      <c r="B11" s="25" t="n"/>
      <c r="C11" s="25" t="n"/>
      <c r="D11" s="28" t="n"/>
      <c r="E11" s="25" t="n"/>
      <c r="F11" s="25" t="n"/>
      <c r="G11" s="27" t="n"/>
      <c r="H11" s="25" t="n"/>
    </row>
    <row r="12">
      <c r="A12" s="25" t="n"/>
      <c r="B12" s="25" t="n"/>
      <c r="C12" s="25" t="n"/>
      <c r="D12" s="28" t="n"/>
      <c r="E12" s="25" t="n"/>
      <c r="F12" s="25" t="n"/>
      <c r="G12" s="27" t="n"/>
      <c r="H12" s="25" t="n"/>
    </row>
    <row r="13">
      <c r="A13" s="25" t="n"/>
      <c r="B13" s="25" t="n"/>
      <c r="C13" s="25" t="n"/>
      <c r="D13" s="28" t="n"/>
      <c r="E13" s="25" t="n"/>
      <c r="F13" s="25" t="n"/>
      <c r="G13" s="27" t="n"/>
      <c r="H13" s="25" t="n"/>
    </row>
    <row r="14">
      <c r="A14" s="25" t="n"/>
      <c r="B14" s="25" t="n"/>
      <c r="C14" s="25" t="n"/>
      <c r="D14" s="28" t="n"/>
      <c r="E14" s="25" t="n"/>
      <c r="F14" s="25" t="n"/>
      <c r="G14" s="27" t="n"/>
      <c r="H14" s="25" t="n"/>
    </row>
    <row r="15">
      <c r="A15" s="25" t="n"/>
      <c r="B15" s="25" t="n"/>
      <c r="C15" s="25" t="n"/>
      <c r="D15" s="28" t="n"/>
      <c r="E15" s="25" t="n"/>
      <c r="F15" s="25" t="n"/>
      <c r="G15" s="27" t="n"/>
      <c r="H15" s="25" t="n"/>
    </row>
    <row r="16">
      <c r="A16" s="25" t="n"/>
      <c r="B16" s="25" t="n"/>
      <c r="C16" s="25" t="n"/>
      <c r="D16" s="28" t="n"/>
      <c r="E16" s="25" t="n"/>
      <c r="F16" s="25" t="n"/>
      <c r="G16" s="27" t="n"/>
      <c r="H16" s="25" t="n"/>
    </row>
    <row r="17">
      <c r="A17" s="25" t="n"/>
      <c r="B17" s="25" t="n"/>
      <c r="C17" s="25" t="n"/>
      <c r="D17" s="28" t="n"/>
      <c r="E17" s="25" t="n"/>
      <c r="F17" s="25" t="n"/>
      <c r="G17" s="27" t="n"/>
      <c r="H17" s="25" t="n"/>
    </row>
    <row r="18">
      <c r="A18" s="25" t="n"/>
      <c r="B18" s="25" t="n"/>
      <c r="C18" s="25" t="n"/>
      <c r="D18" s="28" t="n"/>
      <c r="E18" s="25" t="n"/>
      <c r="F18" s="25" t="n"/>
      <c r="G18" s="27" t="n"/>
      <c r="H18" s="25" t="n"/>
    </row>
    <row r="19">
      <c r="A19" s="25" t="n"/>
      <c r="B19" s="25" t="n"/>
      <c r="C19" s="25" t="n"/>
      <c r="D19" s="28" t="n"/>
      <c r="E19" s="25" t="n"/>
      <c r="F19" s="25" t="n"/>
      <c r="G19" s="27" t="n"/>
      <c r="H19" s="25" t="n"/>
    </row>
    <row r="20">
      <c r="A20" s="25" t="n"/>
      <c r="B20" s="25" t="n"/>
      <c r="C20" s="25" t="n"/>
      <c r="D20" s="28" t="n"/>
      <c r="E20" s="25" t="n"/>
      <c r="F20" s="25" t="n"/>
      <c r="G20" s="27" t="n"/>
      <c r="H20" s="25" t="n"/>
    </row>
    <row r="21">
      <c r="A21" s="25" t="n"/>
      <c r="B21" s="25" t="n"/>
      <c r="C21" s="25" t="n"/>
      <c r="D21" s="28" t="n"/>
      <c r="E21" s="25" t="n"/>
      <c r="F21" s="25" t="n"/>
      <c r="G21" s="27" t="n"/>
      <c r="H21" s="25" t="n"/>
    </row>
    <row r="22">
      <c r="A22" s="25" t="n"/>
      <c r="B22" s="25" t="n"/>
      <c r="C22" s="25" t="n"/>
      <c r="D22" s="28" t="n"/>
      <c r="E22" s="25" t="n"/>
      <c r="F22" s="25" t="n"/>
      <c r="G22" s="27" t="n"/>
      <c r="H22" s="25" t="n"/>
    </row>
    <row r="23">
      <c r="A23" s="25" t="n"/>
      <c r="B23" s="25" t="n"/>
      <c r="C23" s="25" t="n"/>
      <c r="D23" s="28" t="n"/>
      <c r="E23" s="25" t="n"/>
      <c r="F23" s="25" t="n"/>
      <c r="G23" s="27" t="n"/>
      <c r="H23" s="25" t="n"/>
    </row>
    <row r="24">
      <c r="A24" s="25" t="n"/>
      <c r="B24" s="25" t="n"/>
      <c r="C24" s="25" t="n"/>
      <c r="D24" s="28" t="n"/>
      <c r="E24" s="25" t="n"/>
      <c r="F24" s="25" t="n"/>
      <c r="G24" s="27" t="n"/>
      <c r="H24" s="25" t="n"/>
    </row>
    <row r="25">
      <c r="A25" s="25" t="n"/>
      <c r="B25" s="25" t="n"/>
      <c r="C25" s="25" t="n"/>
      <c r="D25" s="28" t="n"/>
      <c r="E25" s="25" t="n"/>
      <c r="F25" s="25" t="n"/>
      <c r="G25" s="27" t="n"/>
      <c r="H25" s="25" t="n"/>
    </row>
    <row r="26">
      <c r="A26" s="25" t="n"/>
      <c r="B26" s="25" t="n"/>
      <c r="C26" s="25" t="n"/>
      <c r="D26" s="28" t="n"/>
      <c r="E26" s="25" t="n"/>
      <c r="F26" s="25" t="n"/>
      <c r="G26" s="27" t="n"/>
      <c r="H26" s="25" t="n"/>
    </row>
    <row r="27">
      <c r="A27" s="25" t="n"/>
      <c r="B27" s="25" t="n"/>
      <c r="C27" s="25" t="n"/>
      <c r="D27" s="28" t="n"/>
      <c r="E27" s="25" t="n"/>
      <c r="F27" s="25" t="n"/>
      <c r="G27" s="27" t="n"/>
      <c r="H27" s="25" t="n"/>
    </row>
    <row r="28">
      <c r="A28" s="25" t="n"/>
      <c r="B28" s="25" t="n"/>
      <c r="C28" s="25" t="n"/>
      <c r="D28" s="28" t="n"/>
      <c r="E28" s="25" t="n"/>
      <c r="F28" s="25" t="n"/>
      <c r="G28" s="27" t="n"/>
      <c r="H28" s="25" t="n"/>
    </row>
  </sheetData>
  <mergeCells count="2">
    <mergeCell ref="A2:H2"/>
    <mergeCell ref="A1:H1"/>
  </mergeCells>
  <conditionalFormatting sqref="E4:E28">
    <cfRule type="expression" priority="1" dxfId="0">
      <formula>$E4="נסגר בהצלחה"</formula>
    </cfRule>
    <cfRule type="expression" priority="2" dxfId="2">
      <formula>$E4="אבדנו"</formula>
    </cfRule>
  </conditionalFormatting>
  <dataValidations count="2">
    <dataValidation sqref="E4:E28" showDropDown="0" showInputMessage="0" showErrorMessage="0" allowBlank="1" type="list">
      <formula1>"ליד חדש,יצרנו קשר,נקבעה פגישה,הצעת מחיר נשלחה,משא ומתן,נסגר בהצלחה,אבדנו"</formula1>
    </dataValidation>
    <dataValidation sqref="F4:F28" showDropDown="0" showInputMessage="0" showErrorMessage="0" allowBlank="1" type="list">
      <formula1>"חם,פושר,קר"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H1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</cols>
  <sheetData>
    <row r="1" ht="44" customHeight="1">
      <c r="A1" s="13" t="inlineStr">
        <is>
          <t>תזרים מזומנים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תמצית חודשית — לתכנון תזרים מלא ראו את מוצר 5 (תכנון תזרים מזומנים)</t>
        </is>
      </c>
      <c r="B2" s="4" t="n"/>
      <c r="C2" s="4" t="n"/>
      <c r="D2" s="4" t="n"/>
      <c r="E2" s="4" t="n"/>
      <c r="F2" s="4" t="n"/>
      <c r="G2" s="4" t="n"/>
      <c r="H2" s="4" t="n"/>
    </row>
    <row r="3" ht="34" customHeight="1">
      <c r="A3" s="14" t="inlineStr">
        <is>
          <t>חודש</t>
        </is>
      </c>
      <c r="B3" s="14" t="inlineStr">
        <is>
          <t>יתרת פתיחה</t>
        </is>
      </c>
      <c r="C3" s="14" t="inlineStr">
        <is>
          <t>הכנסות צפויות</t>
        </is>
      </c>
      <c r="D3" s="14" t="inlineStr">
        <is>
          <t>הכנסות בפועל</t>
        </is>
      </c>
      <c r="E3" s="14" t="inlineStr">
        <is>
          <t>הוצאות צפויות</t>
        </is>
      </c>
      <c r="F3" s="14" t="inlineStr">
        <is>
          <t>הוצאות בפועל</t>
        </is>
      </c>
      <c r="G3" s="14" t="inlineStr">
        <is>
          <t>נטו (בפועל)</t>
        </is>
      </c>
      <c r="H3" s="14" t="inlineStr">
        <is>
          <t>יתרת סגירה</t>
        </is>
      </c>
    </row>
    <row r="4">
      <c r="A4" s="23" t="inlineStr">
        <is>
          <t>ינואר</t>
        </is>
      </c>
      <c r="B4" s="19" t="n">
        <v>15000</v>
      </c>
      <c r="C4" s="19" t="n">
        <v>35000</v>
      </c>
      <c r="D4" s="19" t="n">
        <v>42000</v>
      </c>
      <c r="E4" s="19" t="n">
        <v>26000</v>
      </c>
      <c r="F4" s="19" t="n">
        <v>24000</v>
      </c>
      <c r="G4" s="22">
        <f>D4-F4</f>
        <v/>
      </c>
      <c r="H4" s="22">
        <f>B4+G4</f>
        <v/>
      </c>
    </row>
    <row r="5">
      <c r="A5" s="23" t="inlineStr">
        <is>
          <t>פברואר</t>
        </is>
      </c>
      <c r="B5" s="21">
        <f>H4</f>
        <v/>
      </c>
      <c r="C5" s="19" t="n">
        <v>30000</v>
      </c>
      <c r="D5" s="19" t="n">
        <v>27000</v>
      </c>
      <c r="E5" s="19" t="n">
        <v>25000</v>
      </c>
      <c r="F5" s="19" t="n">
        <v>26000</v>
      </c>
      <c r="G5" s="22">
        <f>D5-F5</f>
        <v/>
      </c>
      <c r="H5" s="22">
        <f>B5+G5</f>
        <v/>
      </c>
    </row>
    <row r="6">
      <c r="A6" s="23" t="inlineStr">
        <is>
          <t>מרץ</t>
        </is>
      </c>
      <c r="B6" s="21">
        <f>H5</f>
        <v/>
      </c>
      <c r="C6" s="19" t="n">
        <v>33000</v>
      </c>
      <c r="D6" s="19" t="n">
        <v>35000</v>
      </c>
      <c r="E6" s="19" t="n">
        <v>27000</v>
      </c>
      <c r="F6" s="19" t="n">
        <v>27500</v>
      </c>
      <c r="G6" s="22">
        <f>D6-F6</f>
        <v/>
      </c>
      <c r="H6" s="22">
        <f>B6+G6</f>
        <v/>
      </c>
    </row>
    <row r="7">
      <c r="A7" s="23" t="inlineStr">
        <is>
          <t>אפריל</t>
        </is>
      </c>
      <c r="B7" s="21">
        <f>H6</f>
        <v/>
      </c>
      <c r="C7" s="19" t="n">
        <v>34000</v>
      </c>
      <c r="D7" s="19" t="n">
        <v>31000</v>
      </c>
      <c r="E7" s="19" t="n">
        <v>26000</v>
      </c>
      <c r="F7" s="19" t="n">
        <v>28000</v>
      </c>
      <c r="G7" s="22">
        <f>D7-F7</f>
        <v/>
      </c>
      <c r="H7" s="22">
        <f>B7+G7</f>
        <v/>
      </c>
    </row>
    <row r="8">
      <c r="A8" s="23" t="inlineStr">
        <is>
          <t>מאי</t>
        </is>
      </c>
      <c r="B8" s="21">
        <f>H7</f>
        <v/>
      </c>
      <c r="C8" s="19" t="n">
        <v>36000</v>
      </c>
      <c r="D8" s="19" t="n">
        <v>38000</v>
      </c>
      <c r="E8" s="19" t="n">
        <v>28000</v>
      </c>
      <c r="F8" s="19" t="n">
        <v>27000</v>
      </c>
      <c r="G8" s="22">
        <f>D8-F8</f>
        <v/>
      </c>
      <c r="H8" s="22">
        <f>B8+G8</f>
        <v/>
      </c>
    </row>
    <row r="9">
      <c r="A9" s="23" t="inlineStr">
        <is>
          <t>יוני</t>
        </is>
      </c>
      <c r="B9" s="21">
        <f>H8</f>
        <v/>
      </c>
      <c r="C9" s="19" t="n">
        <v>32000</v>
      </c>
      <c r="D9" s="19" t="n">
        <v>29000</v>
      </c>
      <c r="E9" s="19" t="n">
        <v>27000</v>
      </c>
      <c r="F9" s="19" t="n">
        <v>29000</v>
      </c>
      <c r="G9" s="22">
        <f>D9-F9</f>
        <v/>
      </c>
      <c r="H9" s="22">
        <f>B9+G9</f>
        <v/>
      </c>
    </row>
    <row r="10">
      <c r="A10" s="23" t="inlineStr">
        <is>
          <t>יולי</t>
        </is>
      </c>
      <c r="B10" s="21">
        <f>H9</f>
        <v/>
      </c>
      <c r="C10" s="19" t="n">
        <v>30000</v>
      </c>
      <c r="D10" s="19" t="n">
        <v>26000</v>
      </c>
      <c r="E10" s="19" t="n">
        <v>26000</v>
      </c>
      <c r="F10" s="19" t="n">
        <v>27000</v>
      </c>
      <c r="G10" s="22">
        <f>D10-F10</f>
        <v/>
      </c>
      <c r="H10" s="22">
        <f>B10+G10</f>
        <v/>
      </c>
    </row>
    <row r="11">
      <c r="A11" s="23" t="inlineStr">
        <is>
          <t>אוגוסט</t>
        </is>
      </c>
      <c r="B11" s="21">
        <f>H10</f>
        <v/>
      </c>
      <c r="C11" s="19" t="n">
        <v>34000</v>
      </c>
      <c r="D11" s="19" t="n">
        <v>36000</v>
      </c>
      <c r="E11" s="19" t="n">
        <v>27000</v>
      </c>
      <c r="F11" s="19" t="n">
        <v>26000</v>
      </c>
      <c r="G11" s="22">
        <f>D11-F11</f>
        <v/>
      </c>
      <c r="H11" s="22">
        <f>B11+G11</f>
        <v/>
      </c>
    </row>
    <row r="12">
      <c r="A12" s="23" t="inlineStr">
        <is>
          <t>ספטמבר</t>
        </is>
      </c>
      <c r="B12" s="21">
        <f>H11</f>
        <v/>
      </c>
      <c r="C12" s="19" t="n">
        <v>35000</v>
      </c>
      <c r="D12" s="19" t="n">
        <v>33000</v>
      </c>
      <c r="E12" s="19" t="n">
        <v>28000</v>
      </c>
      <c r="F12" s="19" t="n">
        <v>28500</v>
      </c>
      <c r="G12" s="22">
        <f>D12-F12</f>
        <v/>
      </c>
      <c r="H12" s="22">
        <f>B12+G12</f>
        <v/>
      </c>
    </row>
    <row r="13">
      <c r="A13" s="23" t="inlineStr">
        <is>
          <t>אוקטובר</t>
        </is>
      </c>
      <c r="B13" s="21">
        <f>H12</f>
        <v/>
      </c>
      <c r="C13" s="19" t="n">
        <v>37000</v>
      </c>
      <c r="D13" s="19" t="n">
        <v>40000</v>
      </c>
      <c r="E13" s="19" t="n">
        <v>29000</v>
      </c>
      <c r="F13" s="19" t="n">
        <v>27000</v>
      </c>
      <c r="G13" s="22">
        <f>D13-F13</f>
        <v/>
      </c>
      <c r="H13" s="22">
        <f>B13+G13</f>
        <v/>
      </c>
    </row>
    <row r="14">
      <c r="A14" s="23" t="inlineStr">
        <is>
          <t>נובמבר</t>
        </is>
      </c>
      <c r="B14" s="21">
        <f>H13</f>
        <v/>
      </c>
      <c r="C14" s="19" t="n">
        <v>36000</v>
      </c>
      <c r="D14" s="19" t="n">
        <v>34000</v>
      </c>
      <c r="E14" s="19" t="n">
        <v>28000</v>
      </c>
      <c r="F14" s="19" t="n">
        <v>29000</v>
      </c>
      <c r="G14" s="22">
        <f>D14-F14</f>
        <v/>
      </c>
      <c r="H14" s="22">
        <f>B14+G14</f>
        <v/>
      </c>
    </row>
    <row r="15">
      <c r="A15" s="23" t="inlineStr">
        <is>
          <t>דצמבר</t>
        </is>
      </c>
      <c r="B15" s="21">
        <f>H14</f>
        <v/>
      </c>
      <c r="C15" s="19" t="n">
        <v>38000</v>
      </c>
      <c r="D15" s="19" t="n">
        <v>41000</v>
      </c>
      <c r="E15" s="19" t="n">
        <v>30000</v>
      </c>
      <c r="F15" s="19" t="n">
        <v>28000</v>
      </c>
      <c r="G15" s="22">
        <f>D15-F15</f>
        <v/>
      </c>
      <c r="H15" s="22">
        <f>B15+G15</f>
        <v/>
      </c>
    </row>
  </sheetData>
  <mergeCells count="2">
    <mergeCell ref="A2:H2"/>
    <mergeCell ref="A1:H1"/>
  </mergeCells>
  <conditionalFormatting sqref="H4:H15">
    <cfRule type="expression" priority="1" dxfId="2">
      <formula>H4&lt;0</formula>
    </cfRule>
    <cfRule type="expression" priority="2" dxfId="1">
      <formula>AND(H4&gt;=0,H4&lt;B4)</formula>
    </cfRule>
    <cfRule type="expression" priority="3" dxfId="0">
      <formula>H4&gt;=B4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D9EAF7"/>
    <outlinePr summaryBelow="1" summaryRight="1"/>
    <pageSetUpPr/>
  </sheetPr>
  <dimension ref="A1:H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9" customWidth="1" min="4" max="4"/>
    <col width="10" customWidth="1" min="5" max="5"/>
    <col width="13" customWidth="1" min="6" max="6"/>
    <col width="12" customWidth="1" min="7" max="7"/>
    <col width="12" customWidth="1" min="8" max="8"/>
  </cols>
  <sheetData>
    <row r="1" ht="44" customHeight="1">
      <c r="A1" s="13" t="inlineStr">
        <is>
          <t>מלאי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תמצית שווי מלאי — לניהול מלאי מלא ראו את מוצר 8 (ניהול מלאי וחומרים)</t>
        </is>
      </c>
      <c r="B2" s="4" t="n"/>
      <c r="C2" s="4" t="n"/>
      <c r="D2" s="4" t="n"/>
      <c r="E2" s="4" t="n"/>
      <c r="F2" s="4" t="n"/>
      <c r="G2" s="4" t="n"/>
      <c r="H2" s="4" t="n"/>
    </row>
    <row r="3" ht="34" customHeight="1">
      <c r="A3" s="14" t="inlineStr">
        <is>
          <t>מק"ט</t>
        </is>
      </c>
      <c r="B3" s="14" t="inlineStr">
        <is>
          <t>שם פריט</t>
        </is>
      </c>
      <c r="C3" s="14" t="inlineStr">
        <is>
          <t>קטגוריה</t>
        </is>
      </c>
      <c r="D3" s="14" t="inlineStr">
        <is>
          <t>יחידה</t>
        </is>
      </c>
      <c r="E3" s="14" t="inlineStr">
        <is>
          <t>כמות</t>
        </is>
      </c>
      <c r="F3" s="14" t="inlineStr">
        <is>
          <t>מלאי מינימום</t>
        </is>
      </c>
      <c r="G3" s="14" t="inlineStr">
        <is>
          <t>עלות יחידה (₪)</t>
        </is>
      </c>
      <c r="H3" s="14" t="inlineStr">
        <is>
          <t>שווי מלאי (₪)</t>
        </is>
      </c>
    </row>
    <row r="4">
      <c r="A4" s="16" t="inlineStr">
        <is>
          <t>EL-001</t>
        </is>
      </c>
      <c r="B4" s="15" t="inlineStr">
        <is>
          <t>כבל חשמל 2.5 מ"מ (גליל)</t>
        </is>
      </c>
      <c r="C4" s="16" t="inlineStr">
        <is>
          <t>חשמל</t>
        </is>
      </c>
      <c r="D4" s="16" t="inlineStr">
        <is>
          <t>גליל</t>
        </is>
      </c>
      <c r="E4" s="16" t="n">
        <v>8</v>
      </c>
      <c r="F4" s="16" t="n">
        <v>5</v>
      </c>
      <c r="G4" s="19" t="n">
        <v>220</v>
      </c>
      <c r="H4" s="22">
        <f>E4*G4</f>
        <v/>
      </c>
    </row>
    <row r="5">
      <c r="A5" s="16" t="inlineStr">
        <is>
          <t>EL-002</t>
        </is>
      </c>
      <c r="B5" s="15" t="inlineStr">
        <is>
          <t>שקע חשמל משולב</t>
        </is>
      </c>
      <c r="C5" s="16" t="inlineStr">
        <is>
          <t>חשמל</t>
        </is>
      </c>
      <c r="D5" s="16" t="inlineStr">
        <is>
          <t>יח'</t>
        </is>
      </c>
      <c r="E5" s="16" t="n">
        <v>40</v>
      </c>
      <c r="F5" s="16" t="n">
        <v>20</v>
      </c>
      <c r="G5" s="19" t="n">
        <v>18</v>
      </c>
      <c r="H5" s="22">
        <f>E5*G5</f>
        <v/>
      </c>
    </row>
    <row r="6">
      <c r="A6" s="16" t="inlineStr">
        <is>
          <t>PL-001</t>
        </is>
      </c>
      <c r="B6" s="15" t="inlineStr">
        <is>
          <t>צינור PVC 1 אינץ'</t>
        </is>
      </c>
      <c r="C6" s="16" t="inlineStr">
        <is>
          <t>אינסטלציה</t>
        </is>
      </c>
      <c r="D6" s="16" t="inlineStr">
        <is>
          <t>מ"א</t>
        </is>
      </c>
      <c r="E6" s="16" t="n">
        <v>15</v>
      </c>
      <c r="F6" s="16" t="n">
        <v>10</v>
      </c>
      <c r="G6" s="19" t="n">
        <v>12</v>
      </c>
      <c r="H6" s="22">
        <f>E6*G6</f>
        <v/>
      </c>
    </row>
    <row r="7">
      <c r="A7" s="16" t="inlineStr">
        <is>
          <t>PT-001</t>
        </is>
      </c>
      <c r="B7" s="15" t="inlineStr">
        <is>
          <t>צבע פנים לבן 18 ליטר</t>
        </is>
      </c>
      <c r="C7" s="16" t="inlineStr">
        <is>
          <t>צבע</t>
        </is>
      </c>
      <c r="D7" s="16" t="inlineStr">
        <is>
          <t>קופסה</t>
        </is>
      </c>
      <c r="E7" s="16" t="n">
        <v>2</v>
      </c>
      <c r="F7" s="16" t="n">
        <v>3</v>
      </c>
      <c r="G7" s="19" t="n">
        <v>180</v>
      </c>
      <c r="H7" s="22">
        <f>E7*G7</f>
        <v/>
      </c>
    </row>
    <row r="8">
      <c r="A8" s="16" t="inlineStr">
        <is>
          <t>GB-001</t>
        </is>
      </c>
      <c r="B8" s="15" t="inlineStr">
        <is>
          <t>לוח גבס 12.5 מ"מ</t>
        </is>
      </c>
      <c r="C8" s="16" t="inlineStr">
        <is>
          <t>גבס</t>
        </is>
      </c>
      <c r="D8" s="16" t="inlineStr">
        <is>
          <t>יח'</t>
        </is>
      </c>
      <c r="E8" s="16" t="n">
        <v>6</v>
      </c>
      <c r="F8" s="16" t="n">
        <v>10</v>
      </c>
      <c r="G8" s="19" t="n">
        <v>45</v>
      </c>
      <c r="H8" s="22">
        <f>E8*G8</f>
        <v/>
      </c>
    </row>
    <row r="9">
      <c r="A9" s="25" t="n"/>
      <c r="B9" s="25" t="n"/>
      <c r="C9" s="25" t="n"/>
      <c r="D9" s="25" t="n"/>
      <c r="E9" s="25" t="n"/>
      <c r="F9" s="25" t="n"/>
      <c r="G9" s="28" t="n"/>
      <c r="H9" s="30">
        <f>IF(A9="","",E9*G9)</f>
        <v/>
      </c>
    </row>
    <row r="10">
      <c r="A10" s="25" t="n"/>
      <c r="B10" s="25" t="n"/>
      <c r="C10" s="25" t="n"/>
      <c r="D10" s="25" t="n"/>
      <c r="E10" s="25" t="n"/>
      <c r="F10" s="25" t="n"/>
      <c r="G10" s="28" t="n"/>
      <c r="H10" s="30">
        <f>IF(A10="","",E10*G10)</f>
        <v/>
      </c>
    </row>
    <row r="11">
      <c r="A11" s="25" t="n"/>
      <c r="B11" s="25" t="n"/>
      <c r="C11" s="25" t="n"/>
      <c r="D11" s="25" t="n"/>
      <c r="E11" s="25" t="n"/>
      <c r="F11" s="25" t="n"/>
      <c r="G11" s="28" t="n"/>
      <c r="H11" s="30">
        <f>IF(A11="","",E11*G11)</f>
        <v/>
      </c>
    </row>
    <row r="12">
      <c r="A12" s="25" t="n"/>
      <c r="B12" s="25" t="n"/>
      <c r="C12" s="25" t="n"/>
      <c r="D12" s="25" t="n"/>
      <c r="E12" s="25" t="n"/>
      <c r="F12" s="25" t="n"/>
      <c r="G12" s="28" t="n"/>
      <c r="H12" s="30">
        <f>IF(A12="","",E12*G12)</f>
        <v/>
      </c>
    </row>
    <row r="13">
      <c r="A13" s="25" t="n"/>
      <c r="B13" s="25" t="n"/>
      <c r="C13" s="25" t="n"/>
      <c r="D13" s="25" t="n"/>
      <c r="E13" s="25" t="n"/>
      <c r="F13" s="25" t="n"/>
      <c r="G13" s="28" t="n"/>
      <c r="H13" s="30">
        <f>IF(A13="","",E13*G13)</f>
        <v/>
      </c>
    </row>
    <row r="14">
      <c r="A14" s="25" t="n"/>
      <c r="B14" s="25" t="n"/>
      <c r="C14" s="25" t="n"/>
      <c r="D14" s="25" t="n"/>
      <c r="E14" s="25" t="n"/>
      <c r="F14" s="25" t="n"/>
      <c r="G14" s="28" t="n"/>
      <c r="H14" s="30">
        <f>IF(A14="","",E14*G14)</f>
        <v/>
      </c>
    </row>
    <row r="15">
      <c r="A15" s="25" t="n"/>
      <c r="B15" s="25" t="n"/>
      <c r="C15" s="25" t="n"/>
      <c r="D15" s="25" t="n"/>
      <c r="E15" s="25" t="n"/>
      <c r="F15" s="25" t="n"/>
      <c r="G15" s="28" t="n"/>
      <c r="H15" s="30">
        <f>IF(A15="","",E15*G15)</f>
        <v/>
      </c>
    </row>
    <row r="16">
      <c r="A16" s="25" t="n"/>
      <c r="B16" s="25" t="n"/>
      <c r="C16" s="25" t="n"/>
      <c r="D16" s="25" t="n"/>
      <c r="E16" s="25" t="n"/>
      <c r="F16" s="25" t="n"/>
      <c r="G16" s="28" t="n"/>
      <c r="H16" s="30">
        <f>IF(A16="","",E16*G16)</f>
        <v/>
      </c>
    </row>
    <row r="17">
      <c r="A17" s="25" t="n"/>
      <c r="B17" s="25" t="n"/>
      <c r="C17" s="25" t="n"/>
      <c r="D17" s="25" t="n"/>
      <c r="E17" s="25" t="n"/>
      <c r="F17" s="25" t="n"/>
      <c r="G17" s="28" t="n"/>
      <c r="H17" s="30">
        <f>IF(A17="","",E17*G17)</f>
        <v/>
      </c>
    </row>
    <row r="18">
      <c r="A18" s="25" t="n"/>
      <c r="B18" s="25" t="n"/>
      <c r="C18" s="25" t="n"/>
      <c r="D18" s="25" t="n"/>
      <c r="E18" s="25" t="n"/>
      <c r="F18" s="25" t="n"/>
      <c r="G18" s="28" t="n"/>
      <c r="H18" s="30">
        <f>IF(A18="","",E18*G18)</f>
        <v/>
      </c>
    </row>
    <row r="19">
      <c r="A19" s="25" t="n"/>
      <c r="B19" s="25" t="n"/>
      <c r="C19" s="25" t="n"/>
      <c r="D19" s="25" t="n"/>
      <c r="E19" s="25" t="n"/>
      <c r="F19" s="25" t="n"/>
      <c r="G19" s="28" t="n"/>
      <c r="H19" s="30">
        <f>IF(A19="","",E19*G19)</f>
        <v/>
      </c>
    </row>
    <row r="20">
      <c r="A20" s="25" t="n"/>
      <c r="B20" s="25" t="n"/>
      <c r="C20" s="25" t="n"/>
      <c r="D20" s="25" t="n"/>
      <c r="E20" s="25" t="n"/>
      <c r="F20" s="25" t="n"/>
      <c r="G20" s="28" t="n"/>
      <c r="H20" s="30">
        <f>IF(A20="","",E20*G20)</f>
        <v/>
      </c>
    </row>
    <row r="21">
      <c r="A21" s="25" t="n"/>
      <c r="B21" s="25" t="n"/>
      <c r="C21" s="25" t="n"/>
      <c r="D21" s="25" t="n"/>
      <c r="E21" s="25" t="n"/>
      <c r="F21" s="25" t="n"/>
      <c r="G21" s="28" t="n"/>
      <c r="H21" s="30">
        <f>IF(A21="","",E21*G21)</f>
        <v/>
      </c>
    </row>
    <row r="22">
      <c r="A22" s="25" t="n"/>
      <c r="B22" s="25" t="n"/>
      <c r="C22" s="25" t="n"/>
      <c r="D22" s="25" t="n"/>
      <c r="E22" s="25" t="n"/>
      <c r="F22" s="25" t="n"/>
      <c r="G22" s="28" t="n"/>
      <c r="H22" s="30">
        <f>IF(A22="","",E22*G22)</f>
        <v/>
      </c>
    </row>
    <row r="23">
      <c r="A23" s="25" t="n"/>
      <c r="B23" s="25" t="n"/>
      <c r="C23" s="25" t="n"/>
      <c r="D23" s="25" t="n"/>
      <c r="E23" s="25" t="n"/>
      <c r="F23" s="25" t="n"/>
      <c r="G23" s="28" t="n"/>
      <c r="H23" s="30">
        <f>IF(A23="","",E23*G23)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F7"/>
    <outlinePr summaryBelow="1" summaryRight="1"/>
    <pageSetUpPr/>
  </sheetPr>
  <dimension ref="A1:E2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4" customWidth="1" min="5" max="5"/>
  </cols>
  <sheetData>
    <row r="1" ht="44" customHeight="1">
      <c r="A1" s="13" t="inlineStr">
        <is>
          <t>כוח אדם</t>
        </is>
      </c>
      <c r="B1" s="2" t="n"/>
      <c r="C1" s="2" t="n"/>
      <c r="D1" s="2" t="n"/>
      <c r="E1" s="2" t="n"/>
    </row>
    <row r="2" ht="24" customHeight="1">
      <c r="A2" s="3" t="inlineStr">
        <is>
          <t>תמצית שעות ועלות — למעקב שעות מלא ראו את מוצר 6 (מעקב שעות ועלות עובדים)</t>
        </is>
      </c>
      <c r="B2" s="4" t="n"/>
      <c r="C2" s="4" t="n"/>
      <c r="D2" s="4" t="n"/>
      <c r="E2" s="4" t="n"/>
    </row>
    <row r="3" ht="34" customHeight="1">
      <c r="A3" s="14" t="inlineStr">
        <is>
          <t>שם פרויקט</t>
        </is>
      </c>
      <c r="B3" s="14" t="inlineStr">
        <is>
          <t>עובד</t>
        </is>
      </c>
      <c r="C3" s="14" t="inlineStr">
        <is>
          <t>שעות רגילות</t>
        </is>
      </c>
      <c r="D3" s="14" t="inlineStr">
        <is>
          <t>שעות נוספות</t>
        </is>
      </c>
      <c r="E3" s="14" t="inlineStr">
        <is>
          <t>עלות (₪)</t>
        </is>
      </c>
    </row>
    <row r="4">
      <c r="A4" s="15" t="inlineStr">
        <is>
          <t>שיפוץ מטבח - וילה כהן</t>
        </is>
      </c>
      <c r="B4" s="15" t="inlineStr">
        <is>
          <t>דוד אזולאי</t>
        </is>
      </c>
      <c r="C4" s="16" t="n">
        <v>76</v>
      </c>
      <c r="D4" s="16" t="n">
        <v>4</v>
      </c>
      <c r="E4" s="19" t="n">
        <v>7480</v>
      </c>
    </row>
    <row r="5">
      <c r="A5" s="15" t="inlineStr">
        <is>
          <t>שיפוץ מטבח - וילה כהן</t>
        </is>
      </c>
      <c r="B5" s="15" t="inlineStr">
        <is>
          <t>משה כהן</t>
        </is>
      </c>
      <c r="C5" s="16" t="n">
        <v>70</v>
      </c>
      <c r="D5" s="16" t="n">
        <v>2</v>
      </c>
      <c r="E5" s="19" t="n">
        <v>6350</v>
      </c>
    </row>
    <row r="6">
      <c r="A6" s="15" t="inlineStr">
        <is>
          <t>התקנת מיזוג 3 יח'</t>
        </is>
      </c>
      <c r="B6" s="15" t="inlineStr">
        <is>
          <t>רון לוי</t>
        </is>
      </c>
      <c r="C6" s="16" t="n">
        <v>24</v>
      </c>
      <c r="D6" s="16" t="n">
        <v>0</v>
      </c>
      <c r="E6" s="19" t="n">
        <v>2160</v>
      </c>
    </row>
    <row r="7">
      <c r="A7" s="15" t="inlineStr">
        <is>
          <t>איטום גג</t>
        </is>
      </c>
      <c r="B7" s="15" t="inlineStr">
        <is>
          <t>דוד אזולאי</t>
        </is>
      </c>
      <c r="C7" s="16" t="n">
        <v>16</v>
      </c>
      <c r="D7" s="16" t="n">
        <v>0</v>
      </c>
      <c r="E7" s="19" t="n">
        <v>1440</v>
      </c>
    </row>
    <row r="8">
      <c r="A8" s="25" t="n"/>
      <c r="B8" s="25" t="n"/>
      <c r="C8" s="25" t="n"/>
      <c r="D8" s="25" t="n"/>
      <c r="E8" s="28" t="n"/>
    </row>
    <row r="9">
      <c r="A9" s="25" t="n"/>
      <c r="B9" s="25" t="n"/>
      <c r="C9" s="25" t="n"/>
      <c r="D9" s="25" t="n"/>
      <c r="E9" s="28" t="n"/>
    </row>
    <row r="10">
      <c r="A10" s="25" t="n"/>
      <c r="B10" s="25" t="n"/>
      <c r="C10" s="25" t="n"/>
      <c r="D10" s="25" t="n"/>
      <c r="E10" s="28" t="n"/>
    </row>
    <row r="11">
      <c r="A11" s="25" t="n"/>
      <c r="B11" s="25" t="n"/>
      <c r="C11" s="25" t="n"/>
      <c r="D11" s="25" t="n"/>
      <c r="E11" s="28" t="n"/>
    </row>
    <row r="12">
      <c r="A12" s="25" t="n"/>
      <c r="B12" s="25" t="n"/>
      <c r="C12" s="25" t="n"/>
      <c r="D12" s="25" t="n"/>
      <c r="E12" s="28" t="n"/>
    </row>
    <row r="13">
      <c r="A13" s="25" t="n"/>
      <c r="B13" s="25" t="n"/>
      <c r="C13" s="25" t="n"/>
      <c r="D13" s="25" t="n"/>
      <c r="E13" s="28" t="n"/>
    </row>
    <row r="14">
      <c r="A14" s="25" t="n"/>
      <c r="B14" s="25" t="n"/>
      <c r="C14" s="25" t="n"/>
      <c r="D14" s="25" t="n"/>
      <c r="E14" s="28" t="n"/>
    </row>
    <row r="15">
      <c r="A15" s="25" t="n"/>
      <c r="B15" s="25" t="n"/>
      <c r="C15" s="25" t="n"/>
      <c r="D15" s="25" t="n"/>
      <c r="E15" s="28" t="n"/>
    </row>
    <row r="16">
      <c r="A16" s="25" t="n"/>
      <c r="B16" s="25" t="n"/>
      <c r="C16" s="25" t="n"/>
      <c r="D16" s="25" t="n"/>
      <c r="E16" s="28" t="n"/>
    </row>
    <row r="17">
      <c r="A17" s="25" t="n"/>
      <c r="B17" s="25" t="n"/>
      <c r="C17" s="25" t="n"/>
      <c r="D17" s="25" t="n"/>
      <c r="E17" s="28" t="n"/>
    </row>
    <row r="18">
      <c r="A18" s="25" t="n"/>
      <c r="B18" s="25" t="n"/>
      <c r="C18" s="25" t="n"/>
      <c r="D18" s="25" t="n"/>
      <c r="E18" s="28" t="n"/>
    </row>
    <row r="19">
      <c r="A19" s="25" t="n"/>
      <c r="B19" s="25" t="n"/>
      <c r="C19" s="25" t="n"/>
      <c r="D19" s="25" t="n"/>
      <c r="E19" s="28" t="n"/>
    </row>
    <row r="20">
      <c r="A20" s="25" t="n"/>
      <c r="B20" s="25" t="n"/>
      <c r="C20" s="25" t="n"/>
      <c r="D20" s="25" t="n"/>
      <c r="E20" s="28" t="n"/>
    </row>
    <row r="21">
      <c r="A21" s="25" t="n"/>
      <c r="B21" s="25" t="n"/>
      <c r="C21" s="25" t="n"/>
      <c r="D21" s="25" t="n"/>
      <c r="E21" s="28" t="n"/>
    </row>
    <row r="22">
      <c r="A22" s="25" t="n"/>
      <c r="B22" s="25" t="n"/>
      <c r="C22" s="25" t="n"/>
      <c r="D22" s="25" t="n"/>
      <c r="E22" s="28" t="n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3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32" t="inlineStr">
        <is>
          <t>1. עברו ללשונית 'פרויקטים' — זהו הלב של המערכת. הוסיפו שורה לכל פרויקט, עם שם פרויקט זהה למה שמופיע במוצרים האחרים שלכם.</t>
        </is>
      </c>
    </row>
    <row r="6" ht="34" customHeight="1">
      <c r="A6" s="32" t="inlineStr">
        <is>
          <t>2. מלאו נתוני תקציב, הצעת מחיר, גבייה ותאריך יעד לכל פרויקט — הרווח, המרג'ין והסיכון מחושבים אוטומטית.</t>
        </is>
      </c>
    </row>
    <row r="8" ht="34" customHeight="1">
      <c r="A8" s="32" t="inlineStr">
        <is>
          <t>3. עדכנו את לשוניות 'מכירות ולידים', 'תזרים מזומנים', 'מלאי' ו'כוח אדם' עם תמצית הנתונים מהמוצרים הבודדים שלכם.</t>
        </is>
      </c>
    </row>
    <row r="10" ht="34" customHeight="1">
      <c r="A10" s="32" t="inlineStr">
        <is>
          <t>4. עברו ל-'לוח בקרה למנהלים' לראות את כל העסק שלכם במבט אחד — כולל תובנות עסקיות אוטומטיות.</t>
        </is>
      </c>
    </row>
    <row r="12" ht="34" customHeight="1">
      <c r="A12" s="32" t="inlineStr">
        <is>
          <t>5. חזרו לעדכן את הלשוניות בכל שבוע כדי שהתמונה תמיד תשקף את המצב האמיתי.</t>
        </is>
      </c>
    </row>
    <row r="14" ht="40" customHeight="1">
      <c r="A14" s="33" t="inlineStr">
        <is>
          <t>טיפ: זהו קובץ הניהול המרכזי שמרכז תמונה מכל 10 המוצרים. שמרו על שם פרויקט זהה בכל מקום — זה המפתח שמחבר הכל יחד.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9EAF7"/>
    <outlinePr summaryBelow="1" summaryRight="1"/>
    <pageSetUpPr/>
  </sheetPr>
  <dimension ref="A1:C18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3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34" t="inlineStr">
        <is>
          <t>מה זה?</t>
        </is>
      </c>
      <c r="C4" s="35" t="inlineStr">
        <is>
          <t>מערכת הניהול המרכזית של ContractorOS — מאחדת תמונת מצב מכל 10 המוצרים (תמחור, תקציב, הצעות מחיר, גבייה, תזרים, שעות עבודה, לידים, מלאי, תוספות, ביצוע) ללוח בקרה עסקי אחד.</t>
        </is>
      </c>
    </row>
    <row r="5" ht="46" customHeight="1">
      <c r="B5" s="34" t="inlineStr">
        <is>
          <t>למי זה מתאים?</t>
        </is>
      </c>
      <c r="C5" s="35" t="inlineStr">
        <is>
          <t>בעלי עסק שכבר עובדים (או רוצים להתחיל לעבוד) עם כמה מוצרי ContractorOS ורוצים תמונת על אחת, בלי לקפוץ בין קבצים.</t>
        </is>
      </c>
    </row>
    <row r="6" ht="46" customHeight="1">
      <c r="B6" s="34" t="inlineStr">
        <is>
          <t>איזו בעיה זה פותר?</t>
        </is>
      </c>
      <c r="C6" s="35" t="inlineStr">
        <is>
          <t>פיזור נתונים בין כלים נפרדים שגורם לכם לפספס את התמונה הכוללת — פרויקט שחורג, לקוח שלא משלם, ליד חם שנשכח.</t>
        </is>
      </c>
    </row>
    <row r="7" ht="46" customHeight="1">
      <c r="B7" s="34" t="inlineStr">
        <is>
          <t>איך מתחילים?</t>
        </is>
      </c>
      <c r="C7" s="35" t="inlineStr">
        <is>
          <t>מלאו את לשונית 'פרויקטים' תחילה, ואז עדכנו את שאר הלשוניות (מכירות, תזרים, מלאי, כוח אדם) בקצרה מהמוצרים הבודדים שלכם.</t>
        </is>
      </c>
    </row>
    <row r="8" ht="46" customHeight="1">
      <c r="B8" s="34" t="inlineStr">
        <is>
          <t>מה צריך להזין?</t>
        </is>
      </c>
      <c r="C8" s="35" t="inlineStr">
        <is>
          <t>בכל לשונית - רק את התאים הצהובים. פרויקטים: שם, לקוח, סטטוס, תקציב, עלות בפועל, שווי הצעה, גבייה. שאר הלשוניות מקבילות למוצרים הבודדים בצורה מצומצמת.</t>
        </is>
      </c>
    </row>
    <row r="9" ht="46" customHeight="1">
      <c r="B9" s="34" t="inlineStr">
        <is>
          <t>מה מחושב אוטומטית?</t>
        </is>
      </c>
      <c r="C9" s="35" t="inlineStr">
        <is>
          <t>חריגת תקציב %, רווח משוער, מרג'ין %, וסיווג סיכון (תקין / מרג'ין נמוך / חריגת תקציב / פיגור) לכל פרויקט. בלוח הבקרה למנהלים: כל 12 מדדי העל, בתוספת תובנות עסקיות חכמות שמזהות אוטומטית את הפרויקט הבעייתי או הרווחי ביותר.</t>
        </is>
      </c>
    </row>
    <row r="10" ht="46" customHeight="1">
      <c r="B10" s="34" t="inlineStr">
        <is>
          <t>מה לוח הבקרה למנהלים מציג?</t>
        </is>
      </c>
      <c r="C10" s="35" t="inlineStr">
        <is>
          <t>הכנסה, רווח גולמי, מרג'ין ממוצע, יתרת מזומן, יתרה לגבייה, שווי מלאי, פרויקטים פעילים/בסיכון, לידים, אחוז המרה, שעות ועלות עבודה — ותובנות עסקיות אוטומטיות.</t>
        </is>
      </c>
    </row>
    <row r="11" ht="46" customHeight="1">
      <c r="B11" s="34" t="inlineStr">
        <is>
          <t>איך הקישור בין הפרויקטים עובד?</t>
        </is>
      </c>
      <c r="C11" s="35" t="inlineStr">
        <is>
          <t>לפי שם הפרויקט בלבד — אין מספור נפרד. הקפידו להשתמש באותו שם פרויקט בדיוק בכל מוצר ContractorOS שבו אתם עובדים, כדי שהמערכת המרכזית תשקף נכון.</t>
        </is>
      </c>
    </row>
    <row r="12" ht="46" customHeight="1">
      <c r="B12" s="34" t="inlineStr">
        <is>
          <t>האם זה מחליף את 10 המוצרים הבודדים?</t>
        </is>
      </c>
      <c r="C12" s="35" t="inlineStr">
        <is>
          <t>לא. זהו קובץ ריכוז וניהול-על. לניהול מפורט יומיומי (למשל מעקב שעות מדויק לכל עובד, או ניהול הצעת מחיר מלאה מרובת-סעיפים) המשיכו להשתמש במוצרים הייעודיים — והעתיקו את התמצית לכאן.</t>
        </is>
      </c>
    </row>
    <row r="13" ht="46" customHeight="1">
      <c r="B13" s="34" t="inlineStr">
        <is>
          <t>טיפים</t>
        </is>
      </c>
      <c r="C13" s="35" t="inlineStr">
        <is>
          <t>1) עדכנו את לשונית 'פרויקטים' לפחות פעם בשבוע. 2) עקבו במיוחד אחרי הסטטוס 'חריגת תקציב' ו'פיגור' — אלו הדגלים האדומים. 3) התובנות העסקיות בלוח הבקרה מתעדכנות אוטומטית ברגע שהנתונים מתעדכנים.</t>
        </is>
      </c>
    </row>
    <row r="15">
      <c r="B15" s="36" t="inlineStr">
        <is>
          <t>שאלות נפוצות</t>
        </is>
      </c>
    </row>
    <row r="16" ht="40" customHeight="1">
      <c r="B16" s="37" t="inlineStr">
        <is>
          <t>איך מזהים פרויקט בסיכון?</t>
        </is>
      </c>
      <c r="C16" s="35" t="inlineStr">
        <is>
          <t>עמודת 'סיכון' בלשונית פרויקטים מסמנת אוטומטית: פיגור (עבר תאריך היעד), חריגת תקציב (מעל 10%), מרג'ין נמוך (מתחת ל-15%), או תקין.</t>
        </is>
      </c>
    </row>
    <row r="17" ht="40" customHeight="1">
      <c r="B17" s="37" t="inlineStr">
        <is>
          <t>מאיפה מגיעים הנתונים בכל לשונית?</t>
        </is>
      </c>
      <c r="C17" s="35" t="inlineStr">
        <is>
          <t>אתם מזינים אותם ידנית, כתמצית מכל אחד מ-10 המוצרים הבודדים — אין קישור אוטומטי בין קבצי Excel נפרדים.</t>
        </is>
      </c>
    </row>
    <row r="18" ht="40" customHeight="1">
      <c r="B18" s="37" t="inlineStr">
        <is>
          <t>כמה פעמים כדאי לעדכן?</t>
        </is>
      </c>
      <c r="C18" s="35" t="inlineStr">
        <is>
          <t>מומלץ עדכון שבועי לפחות, כדי שהתובנות העסקיות ולוח הבקרה למנהלים ישקפו את המצב האמיתי.</t>
        </is>
      </c>
    </row>
  </sheetData>
  <mergeCells count="3">
    <mergeCell ref="A1:C1"/>
    <mergeCell ref="A2:C2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2026-09-13T19:15:54Z</dcterms:created>
  <dcterms:modified xsi:type="dcterms:W3CDTF">2026-09-13T19:15:54Z</dcterms:modified>
</cp:coreProperties>
</file>