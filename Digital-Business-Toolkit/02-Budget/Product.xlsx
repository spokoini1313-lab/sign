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in Workspace" sheetId="2" state="visible" r:id="rId2"/>
    <sheet name="Quick Start" sheetId="3" state="visible" r:id="rId3"/>
    <sheet name="User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7365D"/>
      <sz val="12"/>
    </font>
    <font>
      <name val="Calibri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5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right" vertical="center" wrapText="1"/>
    </xf>
    <xf numFmtId="0" fontId="11" fillId="7" borderId="0" applyAlignment="1" pivotButton="0" quotePrefix="0" xfId="0">
      <alignment horizontal="right" vertical="center" wrapText="1"/>
    </xf>
    <xf numFmtId="0" fontId="11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0" fillId="4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12" fillId="8" borderId="0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F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" customWidth="1" min="7" max="7"/>
  </cols>
  <sheetData>
    <row r="2" ht="46" customHeight="1">
      <c r="B2" s="1" t="inlineStr">
        <is>
          <t>Project Budget Controller — Dashboard</t>
        </is>
      </c>
      <c r="C2" s="2" t="n"/>
      <c r="D2" s="2" t="n"/>
      <c r="E2" s="2" t="n"/>
      <c r="F2" s="2" t="n"/>
    </row>
    <row r="3" ht="22" customHeight="1">
      <c r="B3" s="3" t="inlineStr">
        <is>
          <t>ContractorOS — Stay ahead of every budget overrun</t>
        </is>
      </c>
      <c r="C3" s="4" t="n"/>
      <c r="D3" s="4" t="n"/>
      <c r="E3" s="4" t="n"/>
      <c r="F3" s="4" t="n"/>
    </row>
    <row r="5" ht="30" customHeight="1">
      <c r="B5" s="5" t="inlineStr">
        <is>
          <t>סה"כ תקציב</t>
        </is>
      </c>
      <c r="C5" s="5" t="inlineStr">
        <is>
          <t>סה"כ בפועל</t>
        </is>
      </c>
      <c r="D5" s="5" t="inlineStr">
        <is>
          <t>חריגה כוללת</t>
        </is>
      </c>
      <c r="E5" s="5" t="inlineStr">
        <is>
          <t>אחוז ניצול</t>
        </is>
      </c>
      <c r="F5" s="5" t="inlineStr">
        <is>
          <t>קטגוריות בחריגה</t>
        </is>
      </c>
    </row>
    <row r="6" ht="34" customHeight="1">
      <c r="B6" s="6">
        <f>SUM('Main Workspace'!D4:D36)</f>
        <v/>
      </c>
      <c r="C6" s="6">
        <f>SUM('Main Workspace'!E4:E36)</f>
        <v/>
      </c>
      <c r="D6" s="6">
        <f>SUM('Main Workspace'!E4:E36)-SUM('Main Workspace'!D4:D36)</f>
        <v/>
      </c>
      <c r="E6" s="7">
        <f>IFERROR(SUM('Main Workspace'!E4:E36)/SUM('Main Workspace'!D4:D36),0)</f>
        <v/>
      </c>
      <c r="F6" s="6">
        <f>COUNTIF('Main Workspace'!H4:H36,"חריגה")</f>
        <v/>
      </c>
    </row>
    <row r="9" ht="26" customHeight="1">
      <c r="B9" s="8" t="inlineStr">
        <is>
          <t>⚠ Business Insights / התראות</t>
        </is>
      </c>
    </row>
    <row r="10" ht="22" customHeight="1">
      <c r="B10" s="9">
        <f>IF(COUNTIF('Main Workspace'!H4:H36,"חריגה")&gt;0,"יש "&amp;COUNTIF('Main Workspace'!H4:H36,"חריגה")&amp;" קטגוריות בחריגת תקציב.","כל הקטגוריות בטווח התקציב.")</f>
        <v/>
      </c>
    </row>
    <row r="11" ht="22" customHeight="1">
      <c r="B11" s="10">
        <f>IF(SUM('Main Workspace'!E4:E36)&gt;SUM('Main Workspace'!D4:D36),"סך ההוצאות בפועל גבוה מהתקציב הכולל!","התקציב הכולל בשליטה.")</f>
        <v/>
      </c>
    </row>
  </sheetData>
  <mergeCells count="5">
    <mergeCell ref="B2:F2"/>
    <mergeCell ref="B10:F10"/>
    <mergeCell ref="B11:F11"/>
    <mergeCell ref="B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H3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 ht="44" customHeight="1">
      <c r="A1" s="11" t="inlineStr">
        <is>
          <t>בקרת תקציב פרויקט | Project Budget Controller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הזינו נתונים בתאים הצהובים בלבד — כל שאר העמודות מחושבות אוטומטית</t>
        </is>
      </c>
      <c r="B2" s="4" t="n"/>
      <c r="C2" s="4" t="n"/>
      <c r="D2" s="4" t="n"/>
      <c r="E2" s="4" t="n"/>
      <c r="F2" s="4" t="n"/>
      <c r="G2" s="4" t="n"/>
      <c r="H2" s="4" t="n"/>
    </row>
    <row r="3" ht="34" customHeight="1">
      <c r="A3" s="12" t="inlineStr">
        <is>
          <t>מס' פרויקט</t>
        </is>
      </c>
      <c r="B3" s="12" t="inlineStr">
        <is>
          <t>שם פרויקט</t>
        </is>
      </c>
      <c r="C3" s="12" t="inlineStr">
        <is>
          <t>קטגוריה</t>
        </is>
      </c>
      <c r="D3" s="12" t="inlineStr">
        <is>
          <t>תקציב (Budget)</t>
        </is>
      </c>
      <c r="E3" s="12" t="inlineStr">
        <is>
          <t>בפועל (Actual)</t>
        </is>
      </c>
      <c r="F3" s="12" t="inlineStr">
        <is>
          <t>הפרש (Difference)</t>
        </is>
      </c>
      <c r="G3" s="12" t="inlineStr">
        <is>
          <t>חריגה % (Variance)</t>
        </is>
      </c>
      <c r="H3" s="12" t="inlineStr">
        <is>
          <t>סטטוס</t>
        </is>
      </c>
    </row>
    <row r="4">
      <c r="A4" s="13" t="inlineStr">
        <is>
          <t>PRJ-0001</t>
        </is>
      </c>
      <c r="B4" s="14" t="inlineStr">
        <is>
          <t>שיפוץ מטבח - וילה כהן</t>
        </is>
      </c>
      <c r="C4" s="14" t="inlineStr">
        <is>
          <t>חומרים</t>
        </is>
      </c>
      <c r="D4" s="15" t="n">
        <v>8500</v>
      </c>
      <c r="E4" s="15" t="n">
        <v>9200</v>
      </c>
      <c r="F4" s="16">
        <f>D4-E4</f>
        <v/>
      </c>
      <c r="G4" s="17">
        <f>IFERROR((E4-D4)/D4,0)</f>
        <v/>
      </c>
      <c r="H4" s="18">
        <f>IF(D4=0,"-",IF(G4&lt;=0,"בתקציב",IF(G4&lt;=0.1,"דורש תשומת לב","חריגה")))</f>
        <v/>
      </c>
    </row>
    <row r="5">
      <c r="A5" s="13" t="inlineStr">
        <is>
          <t>PRJ-0001</t>
        </is>
      </c>
      <c r="B5" s="14" t="inlineStr">
        <is>
          <t>שיפוץ מטבח - וילה כהן</t>
        </is>
      </c>
      <c r="C5" s="14" t="inlineStr">
        <is>
          <t>עובדים</t>
        </is>
      </c>
      <c r="D5" s="15" t="n">
        <v>7200</v>
      </c>
      <c r="E5" s="15" t="n">
        <v>7800</v>
      </c>
      <c r="F5" s="16">
        <f>D5-E5</f>
        <v/>
      </c>
      <c r="G5" s="17">
        <f>IFERROR((E5-D5)/D5,0)</f>
        <v/>
      </c>
      <c r="H5" s="18">
        <f>IF(D5=0,"-",IF(G5&lt;=0,"בתקציב",IF(G5&lt;=0.1,"דורש תשומת לב","חריגה")))</f>
        <v/>
      </c>
    </row>
    <row r="6">
      <c r="A6" s="13" t="inlineStr">
        <is>
          <t>PRJ-0001</t>
        </is>
      </c>
      <c r="B6" s="14" t="inlineStr">
        <is>
          <t>שיפוץ מטבח - וילה כהן</t>
        </is>
      </c>
      <c r="C6" s="14" t="inlineStr">
        <is>
          <t>קבלני משנה</t>
        </is>
      </c>
      <c r="D6" s="15" t="n">
        <v>2000</v>
      </c>
      <c r="E6" s="15" t="n">
        <v>1800</v>
      </c>
      <c r="F6" s="16">
        <f>D6-E6</f>
        <v/>
      </c>
      <c r="G6" s="17">
        <f>IFERROR((E6-D6)/D6,0)</f>
        <v/>
      </c>
      <c r="H6" s="18">
        <f>IF(D6=0,"-",IF(G6&lt;=0,"בתקציב",IF(G6&lt;=0.1,"דורש תשומת לב","חריגה")))</f>
        <v/>
      </c>
    </row>
    <row r="7">
      <c r="A7" s="13" t="inlineStr">
        <is>
          <t>PRJ-0001</t>
        </is>
      </c>
      <c r="B7" s="14" t="inlineStr">
        <is>
          <t>שיפוץ מטבח - וילה כהן</t>
        </is>
      </c>
      <c r="C7" s="14" t="inlineStr">
        <is>
          <t>כלי עבודה</t>
        </is>
      </c>
      <c r="D7" s="15" t="n">
        <v>600</v>
      </c>
      <c r="E7" s="15" t="n">
        <v>650</v>
      </c>
      <c r="F7" s="16">
        <f>D7-E7</f>
        <v/>
      </c>
      <c r="G7" s="17">
        <f>IFERROR((E7-D7)/D7,0)</f>
        <v/>
      </c>
      <c r="H7" s="18">
        <f>IF(D7=0,"-",IF(G7&lt;=0,"בתקציב",IF(G7&lt;=0.1,"דורש תשומת לב","חריגה")))</f>
        <v/>
      </c>
    </row>
    <row r="8">
      <c r="A8" s="13" t="inlineStr">
        <is>
          <t>PRJ-0001</t>
        </is>
      </c>
      <c r="B8" s="14" t="inlineStr">
        <is>
          <t>שיפוץ מטבח - וילה כהן</t>
        </is>
      </c>
      <c r="C8" s="14" t="inlineStr">
        <is>
          <t>תקורה</t>
        </is>
      </c>
      <c r="D8" s="15" t="n">
        <v>1200</v>
      </c>
      <c r="E8" s="15" t="n">
        <v>1150</v>
      </c>
      <c r="F8" s="16">
        <f>D8-E8</f>
        <v/>
      </c>
      <c r="G8" s="17">
        <f>IFERROR((E8-D8)/D8,0)</f>
        <v/>
      </c>
      <c r="H8" s="18">
        <f>IF(D8=0,"-",IF(G8&lt;=0,"בתקציב",IF(G8&lt;=0.1,"דורש תשומת לב","חריגה")))</f>
        <v/>
      </c>
    </row>
    <row r="9">
      <c r="A9" s="13" t="inlineStr">
        <is>
          <t>PRJ-0002</t>
        </is>
      </c>
      <c r="B9" s="14" t="inlineStr">
        <is>
          <t>החלפת לוח חשמל</t>
        </is>
      </c>
      <c r="C9" s="14" t="inlineStr">
        <is>
          <t>חומרים</t>
        </is>
      </c>
      <c r="D9" s="15" t="n">
        <v>1200</v>
      </c>
      <c r="E9" s="15" t="n">
        <v>1150</v>
      </c>
      <c r="F9" s="16">
        <f>D9-E9</f>
        <v/>
      </c>
      <c r="G9" s="17">
        <f>IFERROR((E9-D9)/D9,0)</f>
        <v/>
      </c>
      <c r="H9" s="18">
        <f>IF(D9=0,"-",IF(G9&lt;=0,"בתקציב",IF(G9&lt;=0.1,"דורש תשומת לב","חריגה")))</f>
        <v/>
      </c>
    </row>
    <row r="10">
      <c r="A10" s="13" t="inlineStr">
        <is>
          <t>PRJ-0002</t>
        </is>
      </c>
      <c r="B10" s="14" t="inlineStr">
        <is>
          <t>החלפת לוח חשמל</t>
        </is>
      </c>
      <c r="C10" s="14" t="inlineStr">
        <is>
          <t>עובדים</t>
        </is>
      </c>
      <c r="D10" s="15" t="n">
        <v>1100</v>
      </c>
      <c r="E10" s="15" t="n">
        <v>1100</v>
      </c>
      <c r="F10" s="16">
        <f>D10-E10</f>
        <v/>
      </c>
      <c r="G10" s="17">
        <f>IFERROR((E10-D10)/D10,0)</f>
        <v/>
      </c>
      <c r="H10" s="18">
        <f>IF(D10=0,"-",IF(G10&lt;=0,"בתקציב",IF(G10&lt;=0.1,"דורש תשומת לב","חריגה")))</f>
        <v/>
      </c>
    </row>
    <row r="11">
      <c r="A11" s="13" t="inlineStr">
        <is>
          <t>PRJ-0002</t>
        </is>
      </c>
      <c r="B11" s="14" t="inlineStr">
        <is>
          <t>החלפת לוח חשמל</t>
        </is>
      </c>
      <c r="C11" s="14" t="inlineStr">
        <is>
          <t>רישוי</t>
        </is>
      </c>
      <c r="D11" s="15" t="n">
        <v>300</v>
      </c>
      <c r="E11" s="15" t="n">
        <v>450</v>
      </c>
      <c r="F11" s="16">
        <f>D11-E11</f>
        <v/>
      </c>
      <c r="G11" s="17">
        <f>IFERROR((E11-D11)/D11,0)</f>
        <v/>
      </c>
      <c r="H11" s="18">
        <f>IF(D11=0,"-",IF(G11&lt;=0,"בתקציב",IF(G11&lt;=0.1,"דורש תשומת לב","חריגה")))</f>
        <v/>
      </c>
    </row>
    <row r="12">
      <c r="A12" s="19" t="n"/>
      <c r="B12" s="19" t="n"/>
      <c r="C12" s="19" t="n"/>
      <c r="D12" s="20" t="n"/>
      <c r="E12" s="20" t="n"/>
      <c r="F12" s="21">
        <f>IF(A12="","",D12-E12)</f>
        <v/>
      </c>
      <c r="G12" s="22">
        <f>IF(A12="","",IFERROR((E12-D12)/D12,0))</f>
        <v/>
      </c>
      <c r="H12" s="23">
        <f>IF(A12="","",IF(D12=0,"-",IF(G12&lt;=0,"בתקציב",IF(G12&lt;=0.1,"דורש תשומת לב","חריגה"))))</f>
        <v/>
      </c>
    </row>
    <row r="13">
      <c r="A13" s="19" t="n"/>
      <c r="B13" s="19" t="n"/>
      <c r="C13" s="19" t="n"/>
      <c r="D13" s="20" t="n"/>
      <c r="E13" s="20" t="n"/>
      <c r="F13" s="21">
        <f>IF(A13="","",D13-E13)</f>
        <v/>
      </c>
      <c r="G13" s="22">
        <f>IF(A13="","",IFERROR((E13-D13)/D13,0))</f>
        <v/>
      </c>
      <c r="H13" s="23">
        <f>IF(A13="","",IF(D13=0,"-",IF(G13&lt;=0,"בתקציב",IF(G13&lt;=0.1,"דורש תשומת לב","חריגה"))))</f>
        <v/>
      </c>
    </row>
    <row r="14">
      <c r="A14" s="19" t="n"/>
      <c r="B14" s="19" t="n"/>
      <c r="C14" s="19" t="n"/>
      <c r="D14" s="20" t="n"/>
      <c r="E14" s="20" t="n"/>
      <c r="F14" s="21">
        <f>IF(A14="","",D14-E14)</f>
        <v/>
      </c>
      <c r="G14" s="22">
        <f>IF(A14="","",IFERROR((E14-D14)/D14,0))</f>
        <v/>
      </c>
      <c r="H14" s="23">
        <f>IF(A14="","",IF(D14=0,"-",IF(G14&lt;=0,"בתקציב",IF(G14&lt;=0.1,"דורש תשומת לב","חריגה"))))</f>
        <v/>
      </c>
    </row>
    <row r="15">
      <c r="A15" s="19" t="n"/>
      <c r="B15" s="19" t="n"/>
      <c r="C15" s="19" t="n"/>
      <c r="D15" s="20" t="n"/>
      <c r="E15" s="20" t="n"/>
      <c r="F15" s="21">
        <f>IF(A15="","",D15-E15)</f>
        <v/>
      </c>
      <c r="G15" s="22">
        <f>IF(A15="","",IFERROR((E15-D15)/D15,0))</f>
        <v/>
      </c>
      <c r="H15" s="23">
        <f>IF(A15="","",IF(D15=0,"-",IF(G15&lt;=0,"בתקציב",IF(G15&lt;=0.1,"דורש תשומת לב","חריגה"))))</f>
        <v/>
      </c>
    </row>
    <row r="16">
      <c r="A16" s="19" t="n"/>
      <c r="B16" s="19" t="n"/>
      <c r="C16" s="19" t="n"/>
      <c r="D16" s="20" t="n"/>
      <c r="E16" s="20" t="n"/>
      <c r="F16" s="21">
        <f>IF(A16="","",D16-E16)</f>
        <v/>
      </c>
      <c r="G16" s="22">
        <f>IF(A16="","",IFERROR((E16-D16)/D16,0))</f>
        <v/>
      </c>
      <c r="H16" s="23">
        <f>IF(A16="","",IF(D16=0,"-",IF(G16&lt;=0,"בתקציב",IF(G16&lt;=0.1,"דורש תשומת לב","חריגה"))))</f>
        <v/>
      </c>
    </row>
    <row r="17">
      <c r="A17" s="19" t="n"/>
      <c r="B17" s="19" t="n"/>
      <c r="C17" s="19" t="n"/>
      <c r="D17" s="20" t="n"/>
      <c r="E17" s="20" t="n"/>
      <c r="F17" s="21">
        <f>IF(A17="","",D17-E17)</f>
        <v/>
      </c>
      <c r="G17" s="22">
        <f>IF(A17="","",IFERROR((E17-D17)/D17,0))</f>
        <v/>
      </c>
      <c r="H17" s="23">
        <f>IF(A17="","",IF(D17=0,"-",IF(G17&lt;=0,"בתקציב",IF(G17&lt;=0.1,"דורש תשומת לב","חריגה"))))</f>
        <v/>
      </c>
    </row>
    <row r="18">
      <c r="A18" s="19" t="n"/>
      <c r="B18" s="19" t="n"/>
      <c r="C18" s="19" t="n"/>
      <c r="D18" s="20" t="n"/>
      <c r="E18" s="20" t="n"/>
      <c r="F18" s="21">
        <f>IF(A18="","",D18-E18)</f>
        <v/>
      </c>
      <c r="G18" s="22">
        <f>IF(A18="","",IFERROR((E18-D18)/D18,0))</f>
        <v/>
      </c>
      <c r="H18" s="23">
        <f>IF(A18="","",IF(D18=0,"-",IF(G18&lt;=0,"בתקציב",IF(G18&lt;=0.1,"דורש תשומת לב","חריגה"))))</f>
        <v/>
      </c>
    </row>
    <row r="19">
      <c r="A19" s="19" t="n"/>
      <c r="B19" s="19" t="n"/>
      <c r="C19" s="19" t="n"/>
      <c r="D19" s="20" t="n"/>
      <c r="E19" s="20" t="n"/>
      <c r="F19" s="21">
        <f>IF(A19="","",D19-E19)</f>
        <v/>
      </c>
      <c r="G19" s="22">
        <f>IF(A19="","",IFERROR((E19-D19)/D19,0))</f>
        <v/>
      </c>
      <c r="H19" s="23">
        <f>IF(A19="","",IF(D19=0,"-",IF(G19&lt;=0,"בתקציב",IF(G19&lt;=0.1,"דורש תשומת לב","חריגה"))))</f>
        <v/>
      </c>
    </row>
    <row r="20">
      <c r="A20" s="19" t="n"/>
      <c r="B20" s="19" t="n"/>
      <c r="C20" s="19" t="n"/>
      <c r="D20" s="20" t="n"/>
      <c r="E20" s="20" t="n"/>
      <c r="F20" s="21">
        <f>IF(A20="","",D20-E20)</f>
        <v/>
      </c>
      <c r="G20" s="22">
        <f>IF(A20="","",IFERROR((E20-D20)/D20,0))</f>
        <v/>
      </c>
      <c r="H20" s="23">
        <f>IF(A20="","",IF(D20=0,"-",IF(G20&lt;=0,"בתקציב",IF(G20&lt;=0.1,"דורש תשומת לב","חריגה"))))</f>
        <v/>
      </c>
    </row>
    <row r="21">
      <c r="A21" s="19" t="n"/>
      <c r="B21" s="19" t="n"/>
      <c r="C21" s="19" t="n"/>
      <c r="D21" s="20" t="n"/>
      <c r="E21" s="20" t="n"/>
      <c r="F21" s="21">
        <f>IF(A21="","",D21-E21)</f>
        <v/>
      </c>
      <c r="G21" s="22">
        <f>IF(A21="","",IFERROR((E21-D21)/D21,0))</f>
        <v/>
      </c>
      <c r="H21" s="23">
        <f>IF(A21="","",IF(D21=0,"-",IF(G21&lt;=0,"בתקציב",IF(G21&lt;=0.1,"דורש תשומת לב","חריגה"))))</f>
        <v/>
      </c>
    </row>
    <row r="22">
      <c r="A22" s="19" t="n"/>
      <c r="B22" s="19" t="n"/>
      <c r="C22" s="19" t="n"/>
      <c r="D22" s="20" t="n"/>
      <c r="E22" s="20" t="n"/>
      <c r="F22" s="21">
        <f>IF(A22="","",D22-E22)</f>
        <v/>
      </c>
      <c r="G22" s="22">
        <f>IF(A22="","",IFERROR((E22-D22)/D22,0))</f>
        <v/>
      </c>
      <c r="H22" s="23">
        <f>IF(A22="","",IF(D22=0,"-",IF(G22&lt;=0,"בתקציב",IF(G22&lt;=0.1,"דורש תשומת לב","חריגה"))))</f>
        <v/>
      </c>
    </row>
    <row r="23">
      <c r="A23" s="19" t="n"/>
      <c r="B23" s="19" t="n"/>
      <c r="C23" s="19" t="n"/>
      <c r="D23" s="20" t="n"/>
      <c r="E23" s="20" t="n"/>
      <c r="F23" s="21">
        <f>IF(A23="","",D23-E23)</f>
        <v/>
      </c>
      <c r="G23" s="22">
        <f>IF(A23="","",IFERROR((E23-D23)/D23,0))</f>
        <v/>
      </c>
      <c r="H23" s="23">
        <f>IF(A23="","",IF(D23=0,"-",IF(G23&lt;=0,"בתקציב",IF(G23&lt;=0.1,"דורש תשומת לב","חריגה"))))</f>
        <v/>
      </c>
    </row>
    <row r="24">
      <c r="A24" s="19" t="n"/>
      <c r="B24" s="19" t="n"/>
      <c r="C24" s="19" t="n"/>
      <c r="D24" s="20" t="n"/>
      <c r="E24" s="20" t="n"/>
      <c r="F24" s="21">
        <f>IF(A24="","",D24-E24)</f>
        <v/>
      </c>
      <c r="G24" s="22">
        <f>IF(A24="","",IFERROR((E24-D24)/D24,0))</f>
        <v/>
      </c>
      <c r="H24" s="23">
        <f>IF(A24="","",IF(D24=0,"-",IF(G24&lt;=0,"בתקציב",IF(G24&lt;=0.1,"דורש תשומת לב","חריגה"))))</f>
        <v/>
      </c>
    </row>
    <row r="25">
      <c r="A25" s="19" t="n"/>
      <c r="B25" s="19" t="n"/>
      <c r="C25" s="19" t="n"/>
      <c r="D25" s="20" t="n"/>
      <c r="E25" s="20" t="n"/>
      <c r="F25" s="21">
        <f>IF(A25="","",D25-E25)</f>
        <v/>
      </c>
      <c r="G25" s="22">
        <f>IF(A25="","",IFERROR((E25-D25)/D25,0))</f>
        <v/>
      </c>
      <c r="H25" s="23">
        <f>IF(A25="","",IF(D25=0,"-",IF(G25&lt;=0,"בתקציב",IF(G25&lt;=0.1,"דורש תשומת לב","חריגה"))))</f>
        <v/>
      </c>
    </row>
    <row r="26">
      <c r="A26" s="19" t="n"/>
      <c r="B26" s="19" t="n"/>
      <c r="C26" s="19" t="n"/>
      <c r="D26" s="20" t="n"/>
      <c r="E26" s="20" t="n"/>
      <c r="F26" s="21">
        <f>IF(A26="","",D26-E26)</f>
        <v/>
      </c>
      <c r="G26" s="22">
        <f>IF(A26="","",IFERROR((E26-D26)/D26,0))</f>
        <v/>
      </c>
      <c r="H26" s="23">
        <f>IF(A26="","",IF(D26=0,"-",IF(G26&lt;=0,"בתקציב",IF(G26&lt;=0.1,"דורש תשומת לב","חריגה"))))</f>
        <v/>
      </c>
    </row>
    <row r="27">
      <c r="A27" s="19" t="n"/>
      <c r="B27" s="19" t="n"/>
      <c r="C27" s="19" t="n"/>
      <c r="D27" s="20" t="n"/>
      <c r="E27" s="20" t="n"/>
      <c r="F27" s="21">
        <f>IF(A27="","",D27-E27)</f>
        <v/>
      </c>
      <c r="G27" s="22">
        <f>IF(A27="","",IFERROR((E27-D27)/D27,0))</f>
        <v/>
      </c>
      <c r="H27" s="23">
        <f>IF(A27="","",IF(D27=0,"-",IF(G27&lt;=0,"בתקציב",IF(G27&lt;=0.1,"דורש תשומת לב","חריגה"))))</f>
        <v/>
      </c>
    </row>
    <row r="28">
      <c r="A28" s="19" t="n"/>
      <c r="B28" s="19" t="n"/>
      <c r="C28" s="19" t="n"/>
      <c r="D28" s="20" t="n"/>
      <c r="E28" s="20" t="n"/>
      <c r="F28" s="21">
        <f>IF(A28="","",D28-E28)</f>
        <v/>
      </c>
      <c r="G28" s="22">
        <f>IF(A28="","",IFERROR((E28-D28)/D28,0))</f>
        <v/>
      </c>
      <c r="H28" s="23">
        <f>IF(A28="","",IF(D28=0,"-",IF(G28&lt;=0,"בתקציב",IF(G28&lt;=0.1,"דורש תשומת לב","חריגה"))))</f>
        <v/>
      </c>
    </row>
    <row r="29">
      <c r="A29" s="19" t="n"/>
      <c r="B29" s="19" t="n"/>
      <c r="C29" s="19" t="n"/>
      <c r="D29" s="20" t="n"/>
      <c r="E29" s="20" t="n"/>
      <c r="F29" s="21">
        <f>IF(A29="","",D29-E29)</f>
        <v/>
      </c>
      <c r="G29" s="22">
        <f>IF(A29="","",IFERROR((E29-D29)/D29,0))</f>
        <v/>
      </c>
      <c r="H29" s="23">
        <f>IF(A29="","",IF(D29=0,"-",IF(G29&lt;=0,"בתקציב",IF(G29&lt;=0.1,"דורש תשומת לב","חריגה"))))</f>
        <v/>
      </c>
    </row>
    <row r="30">
      <c r="A30" s="19" t="n"/>
      <c r="B30" s="19" t="n"/>
      <c r="C30" s="19" t="n"/>
      <c r="D30" s="20" t="n"/>
      <c r="E30" s="20" t="n"/>
      <c r="F30" s="21">
        <f>IF(A30="","",D30-E30)</f>
        <v/>
      </c>
      <c r="G30" s="22">
        <f>IF(A30="","",IFERROR((E30-D30)/D30,0))</f>
        <v/>
      </c>
      <c r="H30" s="23">
        <f>IF(A30="","",IF(D30=0,"-",IF(G30&lt;=0,"בתקציב",IF(G30&lt;=0.1,"דורש תשומת לב","חריגה"))))</f>
        <v/>
      </c>
    </row>
    <row r="31">
      <c r="A31" s="19" t="n"/>
      <c r="B31" s="19" t="n"/>
      <c r="C31" s="19" t="n"/>
      <c r="D31" s="20" t="n"/>
      <c r="E31" s="20" t="n"/>
      <c r="F31" s="21">
        <f>IF(A31="","",D31-E31)</f>
        <v/>
      </c>
      <c r="G31" s="22">
        <f>IF(A31="","",IFERROR((E31-D31)/D31,0))</f>
        <v/>
      </c>
      <c r="H31" s="23">
        <f>IF(A31="","",IF(D31=0,"-",IF(G31&lt;=0,"בתקציב",IF(G31&lt;=0.1,"דורש תשומת לב","חריגה"))))</f>
        <v/>
      </c>
    </row>
    <row r="32">
      <c r="A32" s="19" t="n"/>
      <c r="B32" s="19" t="n"/>
      <c r="C32" s="19" t="n"/>
      <c r="D32" s="20" t="n"/>
      <c r="E32" s="20" t="n"/>
      <c r="F32" s="21">
        <f>IF(A32="","",D32-E32)</f>
        <v/>
      </c>
      <c r="G32" s="22">
        <f>IF(A32="","",IFERROR((E32-D32)/D32,0))</f>
        <v/>
      </c>
      <c r="H32" s="23">
        <f>IF(A32="","",IF(D32=0,"-",IF(G32&lt;=0,"בתקציב",IF(G32&lt;=0.1,"דורש תשומת לב","חריגה"))))</f>
        <v/>
      </c>
    </row>
    <row r="33">
      <c r="A33" s="19" t="n"/>
      <c r="B33" s="19" t="n"/>
      <c r="C33" s="19" t="n"/>
      <c r="D33" s="20" t="n"/>
      <c r="E33" s="20" t="n"/>
      <c r="F33" s="21">
        <f>IF(A33="","",D33-E33)</f>
        <v/>
      </c>
      <c r="G33" s="22">
        <f>IF(A33="","",IFERROR((E33-D33)/D33,0))</f>
        <v/>
      </c>
      <c r="H33" s="23">
        <f>IF(A33="","",IF(D33=0,"-",IF(G33&lt;=0,"בתקציב",IF(G33&lt;=0.1,"דורש תשומת לב","חריגה"))))</f>
        <v/>
      </c>
    </row>
    <row r="34">
      <c r="A34" s="19" t="n"/>
      <c r="B34" s="19" t="n"/>
      <c r="C34" s="19" t="n"/>
      <c r="D34" s="20" t="n"/>
      <c r="E34" s="20" t="n"/>
      <c r="F34" s="21">
        <f>IF(A34="","",D34-E34)</f>
        <v/>
      </c>
      <c r="G34" s="22">
        <f>IF(A34="","",IFERROR((E34-D34)/D34,0))</f>
        <v/>
      </c>
      <c r="H34" s="23">
        <f>IF(A34="","",IF(D34=0,"-",IF(G34&lt;=0,"בתקציב",IF(G34&lt;=0.1,"דורש תשומת לב","חריגה"))))</f>
        <v/>
      </c>
    </row>
    <row r="35">
      <c r="A35" s="19" t="n"/>
      <c r="B35" s="19" t="n"/>
      <c r="C35" s="19" t="n"/>
      <c r="D35" s="20" t="n"/>
      <c r="E35" s="20" t="n"/>
      <c r="F35" s="21">
        <f>IF(A35="","",D35-E35)</f>
        <v/>
      </c>
      <c r="G35" s="22">
        <f>IF(A35="","",IFERROR((E35-D35)/D35,0))</f>
        <v/>
      </c>
      <c r="H35" s="23">
        <f>IF(A35="","",IF(D35=0,"-",IF(G35&lt;=0,"בתקציב",IF(G35&lt;=0.1,"דורש תשומת לב","חריגה"))))</f>
        <v/>
      </c>
    </row>
    <row r="36">
      <c r="A36" s="19" t="n"/>
      <c r="B36" s="19" t="n"/>
      <c r="C36" s="19" t="n"/>
      <c r="D36" s="20" t="n"/>
      <c r="E36" s="20" t="n"/>
      <c r="F36" s="21">
        <f>IF(A36="","",D36-E36)</f>
        <v/>
      </c>
      <c r="G36" s="22">
        <f>IF(A36="","",IFERROR((E36-D36)/D36,0))</f>
        <v/>
      </c>
      <c r="H36" s="23">
        <f>IF(A36="","",IF(D36=0,"-",IF(G36&lt;=0,"בתקציב",IF(G36&lt;=0.1,"דורש תשומת לב","חריגה"))))</f>
        <v/>
      </c>
    </row>
  </sheetData>
  <mergeCells count="2">
    <mergeCell ref="A2:H2"/>
    <mergeCell ref="A1:H1"/>
  </mergeCells>
  <conditionalFormatting sqref="H4:H36">
    <cfRule type="expression" priority="1" dxfId="0">
      <formula>$H4="בתקציב"</formula>
    </cfRule>
    <cfRule type="expression" priority="2" dxfId="1">
      <formula>$H4="דורש תשומת לב"</formula>
    </cfRule>
    <cfRule type="expression" priority="3" dxfId="2">
      <formula>$H4="חריגה"</formula>
    </cfRule>
  </conditionalFormatting>
  <dataValidations count="1">
    <dataValidation sqref="C4:C36" showDropDown="0" showInputMessage="0" showErrorMessage="0" allowBlank="1" type="list">
      <formula1>"חומרים,עובדים,קבלני משנה,כלי עבודה,השכרות,נסיעות,הובלות,בדיקות,רישוי,תקורה,אחר"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2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1" t="inlineStr">
        <is>
          <t>התחלה מהירה | Quick Start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4" t="inlineStr">
        <is>
          <t>1. עברו ללשונית 'Main Workspace'.</t>
        </is>
      </c>
    </row>
    <row r="6" ht="34" customHeight="1">
      <c r="A6" s="24" t="inlineStr">
        <is>
          <t>2. עבור כל פרויקט, הוסיפו שורה לכל קטגוריית הוצאה רלוונטית (חומרים, עובדים, קבלני משנה ועוד).</t>
        </is>
      </c>
    </row>
    <row r="8" ht="34" customHeight="1">
      <c r="A8" s="24" t="inlineStr">
        <is>
          <t>3. בחרו קטגוריה מהרשימה הנפתחת בעמודה C.</t>
        </is>
      </c>
    </row>
    <row r="10" ht="34" customHeight="1">
      <c r="A10" s="24" t="inlineStr">
        <is>
          <t>4. מלאו תקציב מתוכנן ועלות בפועל — ההפרש והחריגה % מחושבים אוטומטית.</t>
        </is>
      </c>
    </row>
    <row r="12" ht="34" customHeight="1">
      <c r="A12" s="24" t="inlineStr">
        <is>
          <t>5. עברו ל-Dashboard לראות תמונת מצב תקציבית מלאה על כל הפרויקטים.</t>
        </is>
      </c>
    </row>
  </sheetData>
  <mergeCells count="7">
    <mergeCell ref="A4:B4"/>
    <mergeCell ref="A2:B2"/>
    <mergeCell ref="A10:B10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1" t="inlineStr">
        <is>
          <t>מדריך שימוש | User Guide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25" t="inlineStr">
        <is>
          <t>מה זה?</t>
        </is>
      </c>
      <c r="C4" s="26" t="inlineStr">
        <is>
          <t>כלי לבקרת תקציב פרויקט מול ביצוע בפועל, לפי קטגוריות הוצאה.</t>
        </is>
      </c>
    </row>
    <row r="5" ht="46" customHeight="1">
      <c r="B5" s="25" t="inlineStr">
        <is>
          <t>למי זה מתאים?</t>
        </is>
      </c>
      <c r="C5" s="26" t="inlineStr">
        <is>
          <t>קבלנים ובעלי מקצוע שמנהלים כמה פרויקטים במקביל ורוצים לדעת מיד איפה יש חריגה.</t>
        </is>
      </c>
    </row>
    <row r="6" ht="46" customHeight="1">
      <c r="B6" s="25" t="inlineStr">
        <is>
          <t>איזו בעיה זה פותר?</t>
        </is>
      </c>
      <c r="C6" s="26" t="inlineStr">
        <is>
          <t>גילוי חריגות תקציב מאוחר מדי — אחרי שכבר אי אפשר לתקן.</t>
        </is>
      </c>
    </row>
    <row r="7" ht="46" customHeight="1">
      <c r="B7" s="25" t="inlineStr">
        <is>
          <t>איך מתחילים?</t>
        </is>
      </c>
      <c r="C7" s="26" t="inlineStr">
        <is>
          <t>לכל פרויקט, פתחו שורה לכל קטגוריה שרלוונטית, הזינו תקציב ועדכנו בפועל תוך כדי העבודה.</t>
        </is>
      </c>
    </row>
    <row r="8" ht="46" customHeight="1">
      <c r="B8" s="25" t="inlineStr">
        <is>
          <t>מה צריך להזין?</t>
        </is>
      </c>
      <c r="C8" s="26" t="inlineStr">
        <is>
          <t>מספר פרויקט, שם פרויקט, קטגוריה (מרשימה נפתחת), תקציב, בפועל.</t>
        </is>
      </c>
    </row>
    <row r="9" ht="46" customHeight="1">
      <c r="B9" s="25" t="inlineStr">
        <is>
          <t>מה מחושב אוטומטית?</t>
        </is>
      </c>
      <c r="C9" s="26" t="inlineStr">
        <is>
          <t>הפרש (Difference), חריגה % (Variance), וסטטוס: בתקציב / דורש תשומת לב / חריגה.</t>
        </is>
      </c>
    </row>
    <row r="10" ht="46" customHeight="1">
      <c r="B10" s="25" t="inlineStr">
        <is>
          <t>מה Dashboard מציג?</t>
        </is>
      </c>
      <c r="C10" s="26" t="inlineStr">
        <is>
          <t>סה"כ תקציב, סה"כ בפועל, חריגה כוללת, אחוז ניצול, ומספר הקטגוריות שחרגו.</t>
        </is>
      </c>
    </row>
    <row r="11" ht="46" customHeight="1">
      <c r="B11" s="25" t="inlineStr">
        <is>
          <t>טיפים</t>
        </is>
      </c>
      <c r="C11" s="26" t="inlineStr">
        <is>
          <t>עדכנו 'בפועל' באופן שוטף, לא רק בסוף הפרויקט — כך תגלו חריגה מוקדם מספיק כדי לתקן.</t>
        </is>
      </c>
    </row>
    <row r="13">
      <c r="B13" s="27" t="inlineStr">
        <is>
          <t>שאלות נפוצות (FAQ)</t>
        </is>
      </c>
    </row>
    <row r="14" ht="40" customHeight="1">
      <c r="B14" s="28" t="inlineStr">
        <is>
          <t>מה ההבדל בין 'דורש תשומת לב' ל'חריגה'?</t>
        </is>
      </c>
      <c r="C14" s="26" t="inlineStr">
        <is>
          <t>דורש תשומת לב = חריגה של עד 10% מהתקציב. חריגה = מעל 10%.</t>
        </is>
      </c>
    </row>
    <row r="15" ht="40" customHeight="1">
      <c r="B15" s="28" t="inlineStr">
        <is>
          <t>אפשר לעקוב אחרי כמה פרויקטים בו-זמנית?</t>
        </is>
      </c>
      <c r="C15" s="26" t="inlineStr">
        <is>
          <t>כן — כל שורה משויכת למספר פרויקט, כך שה-Dashboard מסכם את כולם יחד.</t>
        </is>
      </c>
    </row>
    <row r="16" ht="40" customHeight="1">
      <c r="B16" s="28" t="inlineStr">
        <is>
          <t>איך מוסיפים קטגוריה חדשה?</t>
        </is>
      </c>
      <c r="C16" s="26" t="inlineStr">
        <is>
          <t>ערכו את רשימת הקטגוריות ב-Data Validation של עמודה C, או הקלידו קטגוריה חופשית בתא.</t>
        </is>
      </c>
    </row>
  </sheetData>
  <mergeCells count="3">
    <mergeCell ref="A1:C1"/>
    <mergeCell ref="B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2026-09-13T18:18:59Z</dcterms:created>
  <dcterms:modified xsi:type="dcterms:W3CDTF">2026-09-13T18:18:59Z</dcterms:modified>
</cp:coreProperties>
</file>