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שולחן עבודה" sheetId="2" state="visible" r:id="rId2"/>
    <sheet name="התחלה מהירה" sheetId="3" state="visible" r:id="rId3"/>
    <sheet name="מדריך שימוש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b val="1"/>
      <color rgb="00FFFFFF"/>
      <sz val="10"/>
    </font>
    <font>
      <name val="Calibri"/>
      <color rgb="001F4E78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FFFFFF"/>
      <sz val="22"/>
    </font>
    <font>
      <name val="Calibri"/>
      <b val="1"/>
      <color rgb="0017365D"/>
      <sz val="10"/>
    </font>
    <font>
      <name val="Calibri"/>
      <b val="1"/>
      <color rgb="001F4E78"/>
      <sz val="18"/>
    </font>
    <font>
      <name val="Calibri"/>
      <b val="1"/>
      <color rgb="00FFFFFF"/>
      <sz val="13"/>
    </font>
    <font>
      <name val="Calibri"/>
      <color rgb="0017365D"/>
      <sz val="11"/>
    </font>
    <font>
      <name val="Calibri"/>
      <color rgb="00000000"/>
      <sz val="12"/>
    </font>
    <font>
      <name val="Calibri"/>
      <b val="1"/>
      <color rgb="0017365D"/>
      <sz val="12"/>
    </font>
    <font>
      <name val="Calibri"/>
      <b val="1"/>
      <color rgb="001F4E78"/>
      <sz val="11"/>
    </font>
  </fonts>
  <fills count="9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4CCCC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B7C6D6"/>
      </left>
      <right style="thin">
        <color rgb="00B7C6D6"/>
      </right>
      <top style="thin">
        <color rgb="00B7C6D6"/>
      </top>
      <bottom style="thin">
        <color rgb="00B7C6D6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8" fillId="5" borderId="1" applyAlignment="1" pivotButton="0" quotePrefix="0" xfId="0">
      <alignment horizontal="center" vertical="center" wrapText="1"/>
    </xf>
    <xf numFmtId="3" fontId="9" fillId="6" borderId="1" applyAlignment="1" pivotButton="0" quotePrefix="0" xfId="0">
      <alignment horizontal="center" vertical="center" wrapText="1"/>
    </xf>
    <xf numFmtId="164" fontId="9" fillId="6" borderId="1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right" vertical="center" wrapText="1"/>
    </xf>
    <xf numFmtId="0" fontId="11" fillId="7" borderId="0" applyAlignment="1" pivotButton="0" quotePrefix="0" xfId="0">
      <alignment horizontal="right" vertical="center" wrapText="1"/>
    </xf>
    <xf numFmtId="0" fontId="11" fillId="5" borderId="0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 wrapText="1"/>
    </xf>
    <xf numFmtId="3" fontId="4" fillId="4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4" borderId="1" pivotButton="0" quotePrefix="0" xfId="0"/>
    <xf numFmtId="3" fontId="0" fillId="4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12" fillId="8" borderId="0" applyAlignment="1" pivotButton="0" quotePrefix="0" xfId="0">
      <alignment horizontal="right" vertical="center" wrapText="1"/>
    </xf>
    <xf numFmtId="0" fontId="13" fillId="5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0" fillId="2" borderId="0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B2:F1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4" customWidth="1" min="7" max="7"/>
  </cols>
  <sheetData>
    <row r="2" ht="46" customHeight="1">
      <c r="B2" s="1" t="inlineStr">
        <is>
          <t>לוח בקרה — בקרת תקציב פרויקט</t>
        </is>
      </c>
      <c r="C2" s="2" t="n"/>
      <c r="D2" s="2" t="n"/>
      <c r="E2" s="2" t="n"/>
      <c r="F2" s="2" t="n"/>
    </row>
    <row r="3" ht="22" customHeight="1">
      <c r="B3" s="3" t="inlineStr">
        <is>
          <t>ContractorOS — הישארו צעד לפני כל חריגת תקציב</t>
        </is>
      </c>
      <c r="C3" s="4" t="n"/>
      <c r="D3" s="4" t="n"/>
      <c r="E3" s="4" t="n"/>
      <c r="F3" s="4" t="n"/>
    </row>
    <row r="5" ht="30" customHeight="1">
      <c r="B5" s="5" t="inlineStr">
        <is>
          <t>סה"כ תקציב</t>
        </is>
      </c>
      <c r="C5" s="5" t="inlineStr">
        <is>
          <t>סה"כ בפועל</t>
        </is>
      </c>
      <c r="D5" s="5" t="inlineStr">
        <is>
          <t>חריגה כוללת</t>
        </is>
      </c>
      <c r="E5" s="5" t="inlineStr">
        <is>
          <t>אחוז ניצול</t>
        </is>
      </c>
      <c r="F5" s="5" t="inlineStr">
        <is>
          <t>קטגוריות בחריגה</t>
        </is>
      </c>
    </row>
    <row r="6" ht="34" customHeight="1">
      <c r="B6" s="6">
        <f>SUM('שולחן עבודה'!C4:C36)</f>
        <v/>
      </c>
      <c r="C6" s="6">
        <f>SUM('שולחן עבודה'!D4:D36)</f>
        <v/>
      </c>
      <c r="D6" s="6">
        <f>SUM('שולחן עבודה'!D4:D36)-SUM('שולחן עבודה'!C4:C36)</f>
        <v/>
      </c>
      <c r="E6" s="7">
        <f>IFERROR(SUM('שולחן עבודה'!D4:D36)/SUM('שולחן עבודה'!C4:C36),0)</f>
        <v/>
      </c>
      <c r="F6" s="6">
        <f>COUNTIF('שולחן עבודה'!G4:G36,"חריגה")</f>
        <v/>
      </c>
    </row>
    <row r="9" ht="26" customHeight="1">
      <c r="B9" s="8" t="inlineStr">
        <is>
          <t>⚠ תובנות עסקיות והתראות</t>
        </is>
      </c>
    </row>
    <row r="10" ht="22" customHeight="1">
      <c r="B10" s="9">
        <f>IF(COUNTIF('שולחן עבודה'!G4:G36,"חריגה")&gt;0,"יש "&amp;COUNTIF('שולחן עבודה'!G4:G36,"חריגה")&amp;" קטגוריות בחריגת תקציב.","כל הקטגוריות בטווח התקציב.")</f>
        <v/>
      </c>
    </row>
    <row r="11" ht="22" customHeight="1">
      <c r="B11" s="10">
        <f>IF(SUM('שולחן עבודה'!D4:D36)&gt;SUM('שולחן עבודה'!C4:C36),"סך ההוצאות בפועל גבוה מהתקציב הכולל!","התקציב הכולל בשליטה.")</f>
        <v/>
      </c>
    </row>
  </sheetData>
  <mergeCells count="5">
    <mergeCell ref="B2:F2"/>
    <mergeCell ref="B10:F10"/>
    <mergeCell ref="B11:F11"/>
    <mergeCell ref="B3:F3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7365D"/>
    <outlinePr summaryBelow="1" summaryRight="1"/>
    <pageSetUpPr/>
  </sheetPr>
  <dimension ref="A1:G3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</cols>
  <sheetData>
    <row r="1" ht="44" customHeight="1">
      <c r="A1" s="11" t="inlineStr">
        <is>
          <t>בקרת תקציב פרויקט</t>
        </is>
      </c>
      <c r="B1" s="2" t="n"/>
      <c r="C1" s="2" t="n"/>
      <c r="D1" s="2" t="n"/>
      <c r="E1" s="2" t="n"/>
      <c r="F1" s="2" t="n"/>
      <c r="G1" s="2" t="n"/>
    </row>
    <row r="2" ht="24" customHeight="1">
      <c r="A2" s="3" t="inlineStr">
        <is>
          <t>הזינו נתונים בתאים הצהובים בלבד — כל שאר העמודות מחושבות אוטומטית</t>
        </is>
      </c>
      <c r="B2" s="4" t="n"/>
      <c r="C2" s="4" t="n"/>
      <c r="D2" s="4" t="n"/>
      <c r="E2" s="4" t="n"/>
      <c r="F2" s="4" t="n"/>
      <c r="G2" s="4" t="n"/>
    </row>
    <row r="3" ht="34" customHeight="1">
      <c r="A3" s="12" t="inlineStr">
        <is>
          <t>שם פרויקט</t>
        </is>
      </c>
      <c r="B3" s="12" t="inlineStr">
        <is>
          <t>קטגוריה</t>
        </is>
      </c>
      <c r="C3" s="12" t="inlineStr">
        <is>
          <t>תקציב</t>
        </is>
      </c>
      <c r="D3" s="12" t="inlineStr">
        <is>
          <t>בפועל</t>
        </is>
      </c>
      <c r="E3" s="12" t="inlineStr">
        <is>
          <t>הפרש</t>
        </is>
      </c>
      <c r="F3" s="12" t="inlineStr">
        <is>
          <t>חריגה %</t>
        </is>
      </c>
      <c r="G3" s="12" t="inlineStr">
        <is>
          <t>סטטוס</t>
        </is>
      </c>
    </row>
    <row r="4">
      <c r="A4" s="13" t="inlineStr">
        <is>
          <t>שיפוץ מטבח - וילה כהן</t>
        </is>
      </c>
      <c r="B4" s="13" t="inlineStr">
        <is>
          <t>חומרים</t>
        </is>
      </c>
      <c r="C4" s="14" t="n">
        <v>8500</v>
      </c>
      <c r="D4" s="14" t="n">
        <v>9200</v>
      </c>
      <c r="E4" s="15">
        <f>C4-D4</f>
        <v/>
      </c>
      <c r="F4" s="16">
        <f>IFERROR((D4-C4)/C4,0)</f>
        <v/>
      </c>
      <c r="G4" s="17">
        <f>IF(C4=0,"-",IF(F4&lt;=0,"בתקציב",IF(F4&lt;=0.1,"דורש תשומת לב","חריגה")))</f>
        <v/>
      </c>
    </row>
    <row r="5">
      <c r="A5" s="13" t="inlineStr">
        <is>
          <t>שיפוץ מטבח - וילה כהן</t>
        </is>
      </c>
      <c r="B5" s="13" t="inlineStr">
        <is>
          <t>עובדים</t>
        </is>
      </c>
      <c r="C5" s="14" t="n">
        <v>7200</v>
      </c>
      <c r="D5" s="14" t="n">
        <v>7800</v>
      </c>
      <c r="E5" s="15">
        <f>C5-D5</f>
        <v/>
      </c>
      <c r="F5" s="16">
        <f>IFERROR((D5-C5)/C5,0)</f>
        <v/>
      </c>
      <c r="G5" s="17">
        <f>IF(C5=0,"-",IF(F5&lt;=0,"בתקציב",IF(F5&lt;=0.1,"דורש תשומת לב","חריגה")))</f>
        <v/>
      </c>
    </row>
    <row r="6">
      <c r="A6" s="13" t="inlineStr">
        <is>
          <t>שיפוץ מטבח - וילה כהן</t>
        </is>
      </c>
      <c r="B6" s="13" t="inlineStr">
        <is>
          <t>קבלני משנה</t>
        </is>
      </c>
      <c r="C6" s="14" t="n">
        <v>2000</v>
      </c>
      <c r="D6" s="14" t="n">
        <v>1800</v>
      </c>
      <c r="E6" s="15">
        <f>C6-D6</f>
        <v/>
      </c>
      <c r="F6" s="16">
        <f>IFERROR((D6-C6)/C6,0)</f>
        <v/>
      </c>
      <c r="G6" s="17">
        <f>IF(C6=0,"-",IF(F6&lt;=0,"בתקציב",IF(F6&lt;=0.1,"דורש תשומת לב","חריגה")))</f>
        <v/>
      </c>
    </row>
    <row r="7">
      <c r="A7" s="13" t="inlineStr">
        <is>
          <t>שיפוץ מטבח - וילה כהן</t>
        </is>
      </c>
      <c r="B7" s="13" t="inlineStr">
        <is>
          <t>כלי עבודה</t>
        </is>
      </c>
      <c r="C7" s="14" t="n">
        <v>600</v>
      </c>
      <c r="D7" s="14" t="n">
        <v>650</v>
      </c>
      <c r="E7" s="15">
        <f>C7-D7</f>
        <v/>
      </c>
      <c r="F7" s="16">
        <f>IFERROR((D7-C7)/C7,0)</f>
        <v/>
      </c>
      <c r="G7" s="17">
        <f>IF(C7=0,"-",IF(F7&lt;=0,"בתקציב",IF(F7&lt;=0.1,"דורש תשומת לב","חריגה")))</f>
        <v/>
      </c>
    </row>
    <row r="8">
      <c r="A8" s="13" t="inlineStr">
        <is>
          <t>שיפוץ מטבח - וילה כהן</t>
        </is>
      </c>
      <c r="B8" s="13" t="inlineStr">
        <is>
          <t>תקורה</t>
        </is>
      </c>
      <c r="C8" s="14" t="n">
        <v>1200</v>
      </c>
      <c r="D8" s="14" t="n">
        <v>1150</v>
      </c>
      <c r="E8" s="15">
        <f>C8-D8</f>
        <v/>
      </c>
      <c r="F8" s="16">
        <f>IFERROR((D8-C8)/C8,0)</f>
        <v/>
      </c>
      <c r="G8" s="17">
        <f>IF(C8=0,"-",IF(F8&lt;=0,"בתקציב",IF(F8&lt;=0.1,"דורש תשומת לב","חריגה")))</f>
        <v/>
      </c>
    </row>
    <row r="9">
      <c r="A9" s="13" t="inlineStr">
        <is>
          <t>החלפת לוח חשמל</t>
        </is>
      </c>
      <c r="B9" s="13" t="inlineStr">
        <is>
          <t>חומרים</t>
        </is>
      </c>
      <c r="C9" s="14" t="n">
        <v>1200</v>
      </c>
      <c r="D9" s="14" t="n">
        <v>1150</v>
      </c>
      <c r="E9" s="15">
        <f>C9-D9</f>
        <v/>
      </c>
      <c r="F9" s="16">
        <f>IFERROR((D9-C9)/C9,0)</f>
        <v/>
      </c>
      <c r="G9" s="17">
        <f>IF(C9=0,"-",IF(F9&lt;=0,"בתקציב",IF(F9&lt;=0.1,"דורש תשומת לב","חריגה")))</f>
        <v/>
      </c>
    </row>
    <row r="10">
      <c r="A10" s="13" t="inlineStr">
        <is>
          <t>החלפת לוח חשמל</t>
        </is>
      </c>
      <c r="B10" s="13" t="inlineStr">
        <is>
          <t>עובדים</t>
        </is>
      </c>
      <c r="C10" s="14" t="n">
        <v>1100</v>
      </c>
      <c r="D10" s="14" t="n">
        <v>1100</v>
      </c>
      <c r="E10" s="15">
        <f>C10-D10</f>
        <v/>
      </c>
      <c r="F10" s="16">
        <f>IFERROR((D10-C10)/C10,0)</f>
        <v/>
      </c>
      <c r="G10" s="17">
        <f>IF(C10=0,"-",IF(F10&lt;=0,"בתקציב",IF(F10&lt;=0.1,"דורש תשומת לב","חריגה")))</f>
        <v/>
      </c>
    </row>
    <row r="11">
      <c r="A11" s="13" t="inlineStr">
        <is>
          <t>החלפת לוח חשמל</t>
        </is>
      </c>
      <c r="B11" s="13" t="inlineStr">
        <is>
          <t>רישוי</t>
        </is>
      </c>
      <c r="C11" s="14" t="n">
        <v>300</v>
      </c>
      <c r="D11" s="14" t="n">
        <v>450</v>
      </c>
      <c r="E11" s="15">
        <f>C11-D11</f>
        <v/>
      </c>
      <c r="F11" s="16">
        <f>IFERROR((D11-C11)/C11,0)</f>
        <v/>
      </c>
      <c r="G11" s="17">
        <f>IF(C11=0,"-",IF(F11&lt;=0,"בתקציב",IF(F11&lt;=0.1,"דורש תשומת לב","חריגה")))</f>
        <v/>
      </c>
    </row>
    <row r="12">
      <c r="A12" s="18" t="n"/>
      <c r="B12" s="18" t="n"/>
      <c r="C12" s="19" t="n"/>
      <c r="D12" s="19" t="n"/>
      <c r="E12" s="20">
        <f>IF(A12="","",C12-D12)</f>
        <v/>
      </c>
      <c r="F12" s="21">
        <f>IF(A12="","",IFERROR((D12-C12)/C12,0))</f>
        <v/>
      </c>
      <c r="G12" s="22">
        <f>IF(A12="","",IF(C12=0,"-",IF(F12&lt;=0,"בתקציב",IF(F12&lt;=0.1,"דורש תשומת לב","חריגה"))))</f>
        <v/>
      </c>
    </row>
    <row r="13">
      <c r="A13" s="18" t="n"/>
      <c r="B13" s="18" t="n"/>
      <c r="C13" s="19" t="n"/>
      <c r="D13" s="19" t="n"/>
      <c r="E13" s="20">
        <f>IF(A13="","",C13-D13)</f>
        <v/>
      </c>
      <c r="F13" s="21">
        <f>IF(A13="","",IFERROR((D13-C13)/C13,0))</f>
        <v/>
      </c>
      <c r="G13" s="22">
        <f>IF(A13="","",IF(C13=0,"-",IF(F13&lt;=0,"בתקציב",IF(F13&lt;=0.1,"דורש תשומת לב","חריגה"))))</f>
        <v/>
      </c>
    </row>
    <row r="14">
      <c r="A14" s="18" t="n"/>
      <c r="B14" s="18" t="n"/>
      <c r="C14" s="19" t="n"/>
      <c r="D14" s="19" t="n"/>
      <c r="E14" s="20">
        <f>IF(A14="","",C14-D14)</f>
        <v/>
      </c>
      <c r="F14" s="21">
        <f>IF(A14="","",IFERROR((D14-C14)/C14,0))</f>
        <v/>
      </c>
      <c r="G14" s="22">
        <f>IF(A14="","",IF(C14=0,"-",IF(F14&lt;=0,"בתקציב",IF(F14&lt;=0.1,"דורש תשומת לב","חריגה"))))</f>
        <v/>
      </c>
    </row>
    <row r="15">
      <c r="A15" s="18" t="n"/>
      <c r="B15" s="18" t="n"/>
      <c r="C15" s="19" t="n"/>
      <c r="D15" s="19" t="n"/>
      <c r="E15" s="20">
        <f>IF(A15="","",C15-D15)</f>
        <v/>
      </c>
      <c r="F15" s="21">
        <f>IF(A15="","",IFERROR((D15-C15)/C15,0))</f>
        <v/>
      </c>
      <c r="G15" s="22">
        <f>IF(A15="","",IF(C15=0,"-",IF(F15&lt;=0,"בתקציב",IF(F15&lt;=0.1,"דורש תשומת לב","חריגה"))))</f>
        <v/>
      </c>
    </row>
    <row r="16">
      <c r="A16" s="18" t="n"/>
      <c r="B16" s="18" t="n"/>
      <c r="C16" s="19" t="n"/>
      <c r="D16" s="19" t="n"/>
      <c r="E16" s="20">
        <f>IF(A16="","",C16-D16)</f>
        <v/>
      </c>
      <c r="F16" s="21">
        <f>IF(A16="","",IFERROR((D16-C16)/C16,0))</f>
        <v/>
      </c>
      <c r="G16" s="22">
        <f>IF(A16="","",IF(C16=0,"-",IF(F16&lt;=0,"בתקציב",IF(F16&lt;=0.1,"דורש תשומת לב","חריגה"))))</f>
        <v/>
      </c>
    </row>
    <row r="17">
      <c r="A17" s="18" t="n"/>
      <c r="B17" s="18" t="n"/>
      <c r="C17" s="19" t="n"/>
      <c r="D17" s="19" t="n"/>
      <c r="E17" s="20">
        <f>IF(A17="","",C17-D17)</f>
        <v/>
      </c>
      <c r="F17" s="21">
        <f>IF(A17="","",IFERROR((D17-C17)/C17,0))</f>
        <v/>
      </c>
      <c r="G17" s="22">
        <f>IF(A17="","",IF(C17=0,"-",IF(F17&lt;=0,"בתקציב",IF(F17&lt;=0.1,"דורש תשומת לב","חריגה"))))</f>
        <v/>
      </c>
    </row>
    <row r="18">
      <c r="A18" s="18" t="n"/>
      <c r="B18" s="18" t="n"/>
      <c r="C18" s="19" t="n"/>
      <c r="D18" s="19" t="n"/>
      <c r="E18" s="20">
        <f>IF(A18="","",C18-D18)</f>
        <v/>
      </c>
      <c r="F18" s="21">
        <f>IF(A18="","",IFERROR((D18-C18)/C18,0))</f>
        <v/>
      </c>
      <c r="G18" s="22">
        <f>IF(A18="","",IF(C18=0,"-",IF(F18&lt;=0,"בתקציב",IF(F18&lt;=0.1,"דורש תשומת לב","חריגה"))))</f>
        <v/>
      </c>
    </row>
    <row r="19">
      <c r="A19" s="18" t="n"/>
      <c r="B19" s="18" t="n"/>
      <c r="C19" s="19" t="n"/>
      <c r="D19" s="19" t="n"/>
      <c r="E19" s="20">
        <f>IF(A19="","",C19-D19)</f>
        <v/>
      </c>
      <c r="F19" s="21">
        <f>IF(A19="","",IFERROR((D19-C19)/C19,0))</f>
        <v/>
      </c>
      <c r="G19" s="22">
        <f>IF(A19="","",IF(C19=0,"-",IF(F19&lt;=0,"בתקציב",IF(F19&lt;=0.1,"דורש תשומת לב","חריגה"))))</f>
        <v/>
      </c>
    </row>
    <row r="20">
      <c r="A20" s="18" t="n"/>
      <c r="B20" s="18" t="n"/>
      <c r="C20" s="19" t="n"/>
      <c r="D20" s="19" t="n"/>
      <c r="E20" s="20">
        <f>IF(A20="","",C20-D20)</f>
        <v/>
      </c>
      <c r="F20" s="21">
        <f>IF(A20="","",IFERROR((D20-C20)/C20,0))</f>
        <v/>
      </c>
      <c r="G20" s="22">
        <f>IF(A20="","",IF(C20=0,"-",IF(F20&lt;=0,"בתקציב",IF(F20&lt;=0.1,"דורש תשומת לב","חריגה"))))</f>
        <v/>
      </c>
    </row>
    <row r="21">
      <c r="A21" s="18" t="n"/>
      <c r="B21" s="18" t="n"/>
      <c r="C21" s="19" t="n"/>
      <c r="D21" s="19" t="n"/>
      <c r="E21" s="20">
        <f>IF(A21="","",C21-D21)</f>
        <v/>
      </c>
      <c r="F21" s="21">
        <f>IF(A21="","",IFERROR((D21-C21)/C21,0))</f>
        <v/>
      </c>
      <c r="G21" s="22">
        <f>IF(A21="","",IF(C21=0,"-",IF(F21&lt;=0,"בתקציב",IF(F21&lt;=0.1,"דורש תשומת לב","חריגה"))))</f>
        <v/>
      </c>
    </row>
    <row r="22">
      <c r="A22" s="18" t="n"/>
      <c r="B22" s="18" t="n"/>
      <c r="C22" s="19" t="n"/>
      <c r="D22" s="19" t="n"/>
      <c r="E22" s="20">
        <f>IF(A22="","",C22-D22)</f>
        <v/>
      </c>
      <c r="F22" s="21">
        <f>IF(A22="","",IFERROR((D22-C22)/C22,0))</f>
        <v/>
      </c>
      <c r="G22" s="22">
        <f>IF(A22="","",IF(C22=0,"-",IF(F22&lt;=0,"בתקציב",IF(F22&lt;=0.1,"דורש תשומת לב","חריגה"))))</f>
        <v/>
      </c>
    </row>
    <row r="23">
      <c r="A23" s="18" t="n"/>
      <c r="B23" s="18" t="n"/>
      <c r="C23" s="19" t="n"/>
      <c r="D23" s="19" t="n"/>
      <c r="E23" s="20">
        <f>IF(A23="","",C23-D23)</f>
        <v/>
      </c>
      <c r="F23" s="21">
        <f>IF(A23="","",IFERROR((D23-C23)/C23,0))</f>
        <v/>
      </c>
      <c r="G23" s="22">
        <f>IF(A23="","",IF(C23=0,"-",IF(F23&lt;=0,"בתקציב",IF(F23&lt;=0.1,"דורש תשומת לב","חריגה"))))</f>
        <v/>
      </c>
    </row>
    <row r="24">
      <c r="A24" s="18" t="n"/>
      <c r="B24" s="18" t="n"/>
      <c r="C24" s="19" t="n"/>
      <c r="D24" s="19" t="n"/>
      <c r="E24" s="20">
        <f>IF(A24="","",C24-D24)</f>
        <v/>
      </c>
      <c r="F24" s="21">
        <f>IF(A24="","",IFERROR((D24-C24)/C24,0))</f>
        <v/>
      </c>
      <c r="G24" s="22">
        <f>IF(A24="","",IF(C24=0,"-",IF(F24&lt;=0,"בתקציב",IF(F24&lt;=0.1,"דורש תשומת לב","חריגה"))))</f>
        <v/>
      </c>
    </row>
    <row r="25">
      <c r="A25" s="18" t="n"/>
      <c r="B25" s="18" t="n"/>
      <c r="C25" s="19" t="n"/>
      <c r="D25" s="19" t="n"/>
      <c r="E25" s="20">
        <f>IF(A25="","",C25-D25)</f>
        <v/>
      </c>
      <c r="F25" s="21">
        <f>IF(A25="","",IFERROR((D25-C25)/C25,0))</f>
        <v/>
      </c>
      <c r="G25" s="22">
        <f>IF(A25="","",IF(C25=0,"-",IF(F25&lt;=0,"בתקציב",IF(F25&lt;=0.1,"דורש תשומת לב","חריגה"))))</f>
        <v/>
      </c>
    </row>
    <row r="26">
      <c r="A26" s="18" t="n"/>
      <c r="B26" s="18" t="n"/>
      <c r="C26" s="19" t="n"/>
      <c r="D26" s="19" t="n"/>
      <c r="E26" s="20">
        <f>IF(A26="","",C26-D26)</f>
        <v/>
      </c>
      <c r="F26" s="21">
        <f>IF(A26="","",IFERROR((D26-C26)/C26,0))</f>
        <v/>
      </c>
      <c r="G26" s="22">
        <f>IF(A26="","",IF(C26=0,"-",IF(F26&lt;=0,"בתקציב",IF(F26&lt;=0.1,"דורש תשומת לב","חריגה"))))</f>
        <v/>
      </c>
    </row>
    <row r="27">
      <c r="A27" s="18" t="n"/>
      <c r="B27" s="18" t="n"/>
      <c r="C27" s="19" t="n"/>
      <c r="D27" s="19" t="n"/>
      <c r="E27" s="20">
        <f>IF(A27="","",C27-D27)</f>
        <v/>
      </c>
      <c r="F27" s="21">
        <f>IF(A27="","",IFERROR((D27-C27)/C27,0))</f>
        <v/>
      </c>
      <c r="G27" s="22">
        <f>IF(A27="","",IF(C27=0,"-",IF(F27&lt;=0,"בתקציב",IF(F27&lt;=0.1,"דורש תשומת לב","חריגה"))))</f>
        <v/>
      </c>
    </row>
    <row r="28">
      <c r="A28" s="18" t="n"/>
      <c r="B28" s="18" t="n"/>
      <c r="C28" s="19" t="n"/>
      <c r="D28" s="19" t="n"/>
      <c r="E28" s="20">
        <f>IF(A28="","",C28-D28)</f>
        <v/>
      </c>
      <c r="F28" s="21">
        <f>IF(A28="","",IFERROR((D28-C28)/C28,0))</f>
        <v/>
      </c>
      <c r="G28" s="22">
        <f>IF(A28="","",IF(C28=0,"-",IF(F28&lt;=0,"בתקציב",IF(F28&lt;=0.1,"דורש תשומת לב","חריגה"))))</f>
        <v/>
      </c>
    </row>
    <row r="29">
      <c r="A29" s="18" t="n"/>
      <c r="B29" s="18" t="n"/>
      <c r="C29" s="19" t="n"/>
      <c r="D29" s="19" t="n"/>
      <c r="E29" s="20">
        <f>IF(A29="","",C29-D29)</f>
        <v/>
      </c>
      <c r="F29" s="21">
        <f>IF(A29="","",IFERROR((D29-C29)/C29,0))</f>
        <v/>
      </c>
      <c r="G29" s="22">
        <f>IF(A29="","",IF(C29=0,"-",IF(F29&lt;=0,"בתקציב",IF(F29&lt;=0.1,"דורש תשומת לב","חריגה"))))</f>
        <v/>
      </c>
    </row>
    <row r="30">
      <c r="A30" s="18" t="n"/>
      <c r="B30" s="18" t="n"/>
      <c r="C30" s="19" t="n"/>
      <c r="D30" s="19" t="n"/>
      <c r="E30" s="20">
        <f>IF(A30="","",C30-D30)</f>
        <v/>
      </c>
      <c r="F30" s="21">
        <f>IF(A30="","",IFERROR((D30-C30)/C30,0))</f>
        <v/>
      </c>
      <c r="G30" s="22">
        <f>IF(A30="","",IF(C30=0,"-",IF(F30&lt;=0,"בתקציב",IF(F30&lt;=0.1,"דורש תשומת לב","חריגה"))))</f>
        <v/>
      </c>
    </row>
    <row r="31">
      <c r="A31" s="18" t="n"/>
      <c r="B31" s="18" t="n"/>
      <c r="C31" s="19" t="n"/>
      <c r="D31" s="19" t="n"/>
      <c r="E31" s="20">
        <f>IF(A31="","",C31-D31)</f>
        <v/>
      </c>
      <c r="F31" s="21">
        <f>IF(A31="","",IFERROR((D31-C31)/C31,0))</f>
        <v/>
      </c>
      <c r="G31" s="22">
        <f>IF(A31="","",IF(C31=0,"-",IF(F31&lt;=0,"בתקציב",IF(F31&lt;=0.1,"דורש תשומת לב","חריגה"))))</f>
        <v/>
      </c>
    </row>
    <row r="32">
      <c r="A32" s="18" t="n"/>
      <c r="B32" s="18" t="n"/>
      <c r="C32" s="19" t="n"/>
      <c r="D32" s="19" t="n"/>
      <c r="E32" s="20">
        <f>IF(A32="","",C32-D32)</f>
        <v/>
      </c>
      <c r="F32" s="21">
        <f>IF(A32="","",IFERROR((D32-C32)/C32,0))</f>
        <v/>
      </c>
      <c r="G32" s="22">
        <f>IF(A32="","",IF(C32=0,"-",IF(F32&lt;=0,"בתקציב",IF(F32&lt;=0.1,"דורש תשומת לב","חריגה"))))</f>
        <v/>
      </c>
    </row>
    <row r="33">
      <c r="A33" s="18" t="n"/>
      <c r="B33" s="18" t="n"/>
      <c r="C33" s="19" t="n"/>
      <c r="D33" s="19" t="n"/>
      <c r="E33" s="20">
        <f>IF(A33="","",C33-D33)</f>
        <v/>
      </c>
      <c r="F33" s="21">
        <f>IF(A33="","",IFERROR((D33-C33)/C33,0))</f>
        <v/>
      </c>
      <c r="G33" s="22">
        <f>IF(A33="","",IF(C33=0,"-",IF(F33&lt;=0,"בתקציב",IF(F33&lt;=0.1,"דורש תשומת לב","חריגה"))))</f>
        <v/>
      </c>
    </row>
    <row r="34">
      <c r="A34" s="18" t="n"/>
      <c r="B34" s="18" t="n"/>
      <c r="C34" s="19" t="n"/>
      <c r="D34" s="19" t="n"/>
      <c r="E34" s="20">
        <f>IF(A34="","",C34-D34)</f>
        <v/>
      </c>
      <c r="F34" s="21">
        <f>IF(A34="","",IFERROR((D34-C34)/C34,0))</f>
        <v/>
      </c>
      <c r="G34" s="22">
        <f>IF(A34="","",IF(C34=0,"-",IF(F34&lt;=0,"בתקציב",IF(F34&lt;=0.1,"דורש תשומת לב","חריגה"))))</f>
        <v/>
      </c>
    </row>
    <row r="35">
      <c r="A35" s="18" t="n"/>
      <c r="B35" s="18" t="n"/>
      <c r="C35" s="19" t="n"/>
      <c r="D35" s="19" t="n"/>
      <c r="E35" s="20">
        <f>IF(A35="","",C35-D35)</f>
        <v/>
      </c>
      <c r="F35" s="21">
        <f>IF(A35="","",IFERROR((D35-C35)/C35,0))</f>
        <v/>
      </c>
      <c r="G35" s="22">
        <f>IF(A35="","",IF(C35=0,"-",IF(F35&lt;=0,"בתקציב",IF(F35&lt;=0.1,"דורש תשומת לב","חריגה"))))</f>
        <v/>
      </c>
    </row>
    <row r="36">
      <c r="A36" s="18" t="n"/>
      <c r="B36" s="18" t="n"/>
      <c r="C36" s="19" t="n"/>
      <c r="D36" s="19" t="n"/>
      <c r="E36" s="20">
        <f>IF(A36="","",C36-D36)</f>
        <v/>
      </c>
      <c r="F36" s="21">
        <f>IF(A36="","",IFERROR((D36-C36)/C36,0))</f>
        <v/>
      </c>
      <c r="G36" s="22">
        <f>IF(A36="","",IF(C36=0,"-",IF(F36&lt;=0,"בתקציב",IF(F36&lt;=0.1,"דורש תשומת לב","חריגה"))))</f>
        <v/>
      </c>
    </row>
  </sheetData>
  <mergeCells count="2">
    <mergeCell ref="A2:G2"/>
    <mergeCell ref="A1:G1"/>
  </mergeCells>
  <conditionalFormatting sqref="G4:G36">
    <cfRule type="expression" priority="1" dxfId="0">
      <formula>$G4="בתקציב"</formula>
    </cfRule>
    <cfRule type="expression" priority="2" dxfId="1">
      <formula>$G4="דורש תשומת לב"</formula>
    </cfRule>
    <cfRule type="expression" priority="3" dxfId="2">
      <formula>$G4="חריגה"</formula>
    </cfRule>
  </conditionalFormatting>
  <dataValidations count="1">
    <dataValidation sqref="B4:B36" showDropDown="0" showInputMessage="0" showErrorMessage="0" allowBlank="1" type="list">
      <formula1>"חומרים,עובדים,קבלני משנה,כלי עבודה,השכרות,נסיעות,הובלות,בדיקות,רישוי,תקורה,אחר"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2F0D9"/>
    <outlinePr summaryBelow="1" summaryRight="1"/>
    <pageSetUpPr/>
  </sheetPr>
  <dimension ref="A1:B12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44" customHeight="1">
      <c r="A1" s="11" t="inlineStr">
        <is>
          <t>התחלה מהירה</t>
        </is>
      </c>
      <c r="B1" s="2" t="n"/>
    </row>
    <row r="2" ht="24" customHeight="1">
      <c r="A2" s="3" t="inlineStr">
        <is>
          <t>5 צעדים ואתם בפנים</t>
        </is>
      </c>
      <c r="B2" s="4" t="n"/>
    </row>
    <row r="4" ht="34" customHeight="1">
      <c r="A4" s="23" t="inlineStr">
        <is>
          <t>1. עברו ללשונית 'שולחן עבודה'.</t>
        </is>
      </c>
    </row>
    <row r="6" ht="34" customHeight="1">
      <c r="A6" s="23" t="inlineStr">
        <is>
          <t>2. עבור כל פרויקט, הוסיפו שורה לכל קטגוריית הוצאה רלוונטית (חומרים, עובדים, קבלני משנה ועוד) עם שם הפרויקט.</t>
        </is>
      </c>
    </row>
    <row r="8" ht="34" customHeight="1">
      <c r="A8" s="23" t="inlineStr">
        <is>
          <t>3. בחרו קטגוריה מהרשימה הנפתחת בעמודה B.</t>
        </is>
      </c>
    </row>
    <row r="10" ht="34" customHeight="1">
      <c r="A10" s="23" t="inlineStr">
        <is>
          <t>4. מלאו תקציב מתוכנן ועלות בפועל — ההפרש והחריגה % מחושבים אוטומטית.</t>
        </is>
      </c>
    </row>
    <row r="12" ht="34" customHeight="1">
      <c r="A12" s="23" t="inlineStr">
        <is>
          <t>5. עברו ל-לוח הבקרה לראות תמונת מצב תקציבית מלאה על כל הפרויקטים.</t>
        </is>
      </c>
    </row>
  </sheetData>
  <mergeCells count="7">
    <mergeCell ref="A4:B4"/>
    <mergeCell ref="A2:B2"/>
    <mergeCell ref="A10:B10"/>
    <mergeCell ref="A1:B1"/>
    <mergeCell ref="A8:B8"/>
    <mergeCell ref="A6:B6"/>
    <mergeCell ref="A12:B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EAF7"/>
    <outlinePr summaryBelow="1" summaryRight="1"/>
    <pageSetUpPr/>
  </sheetPr>
  <dimension ref="A1:C16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70" customWidth="1" min="3" max="3"/>
  </cols>
  <sheetData>
    <row r="1" ht="44" customHeight="1">
      <c r="A1" s="11" t="inlineStr">
        <is>
          <t>מדריך שימוש</t>
        </is>
      </c>
      <c r="B1" s="2" t="n"/>
      <c r="C1" s="2" t="n"/>
    </row>
    <row r="2" ht="24" customHeight="1">
      <c r="A2" s="3" t="inlineStr">
        <is>
          <t>הסבר מלא לכל שדה ולכל חישוב</t>
        </is>
      </c>
      <c r="B2" s="4" t="n"/>
      <c r="C2" s="4" t="n"/>
    </row>
    <row r="4" ht="46" customHeight="1">
      <c r="B4" s="24" t="inlineStr">
        <is>
          <t>מה זה?</t>
        </is>
      </c>
      <c r="C4" s="25" t="inlineStr">
        <is>
          <t>כלי לבקרת תקציב פרויקט מול ביצוע בפועל, לפי קטגוריות הוצאה.</t>
        </is>
      </c>
    </row>
    <row r="5" ht="46" customHeight="1">
      <c r="B5" s="24" t="inlineStr">
        <is>
          <t>למי זה מתאים?</t>
        </is>
      </c>
      <c r="C5" s="25" t="inlineStr">
        <is>
          <t>קבלנים ובעלי מקצוע שמנהלים כמה פרויקטים במקביל ורוצים לדעת מיד איפה יש חריגה.</t>
        </is>
      </c>
    </row>
    <row r="6" ht="46" customHeight="1">
      <c r="B6" s="24" t="inlineStr">
        <is>
          <t>איזו בעיה זה פותר?</t>
        </is>
      </c>
      <c r="C6" s="25" t="inlineStr">
        <is>
          <t>גילוי חריגות תקציב מאוחר מדי — אחרי שכבר אי אפשר לתקן.</t>
        </is>
      </c>
    </row>
    <row r="7" ht="46" customHeight="1">
      <c r="B7" s="24" t="inlineStr">
        <is>
          <t>איך מתחילים?</t>
        </is>
      </c>
      <c r="C7" s="25" t="inlineStr">
        <is>
          <t>לכל פרויקט, פתחו שורה לכל קטגוריה שרלוונטית, הזינו תקציב ועדכנו בפועל תוך כדי העבודה.</t>
        </is>
      </c>
    </row>
    <row r="8" ht="46" customHeight="1">
      <c r="B8" s="24" t="inlineStr">
        <is>
          <t>מה צריך להזין?</t>
        </is>
      </c>
      <c r="C8" s="25" t="inlineStr">
        <is>
          <t>שם פרויקט (זהה לשם שבו השתמשתם במוצרים האחרים), קטגוריה (מרשימה נפתחת), תקציב, בפועל.</t>
        </is>
      </c>
    </row>
    <row r="9" ht="46" customHeight="1">
      <c r="B9" s="24" t="inlineStr">
        <is>
          <t>מה מחושב אוטומטית?</t>
        </is>
      </c>
      <c r="C9" s="25" t="inlineStr">
        <is>
          <t>הפרש בין תקציב לבפועל, אחוז חריגה, וסטטוס: בתקציב / דורש תשומת לב / חריגה.</t>
        </is>
      </c>
    </row>
    <row r="10" ht="46" customHeight="1">
      <c r="B10" s="24" t="inlineStr">
        <is>
          <t>מה לוח הבקרה מציג?</t>
        </is>
      </c>
      <c r="C10" s="25" t="inlineStr">
        <is>
          <t>סה"כ תקציב, סה"כ בפועל, חריגה כוללת, אחוז ניצול, ומספר הקטגוריות שחרגו.</t>
        </is>
      </c>
    </row>
    <row r="11" ht="46" customHeight="1">
      <c r="B11" s="24" t="inlineStr">
        <is>
          <t>טיפים</t>
        </is>
      </c>
      <c r="C11" s="25" t="inlineStr">
        <is>
          <t>עדכנו 'בפועל' באופן שוטף, לא רק בסוף הפרויקט — כך תגלו חריגה מוקדם מספיק כדי לתקן.</t>
        </is>
      </c>
    </row>
    <row r="13">
      <c r="B13" s="26" t="inlineStr">
        <is>
          <t>שאלות נפוצות</t>
        </is>
      </c>
    </row>
    <row r="14" ht="40" customHeight="1">
      <c r="B14" s="27" t="inlineStr">
        <is>
          <t>מה ההבדל בין 'דורש תשומת לב' ל'חריגה'?</t>
        </is>
      </c>
      <c r="C14" s="25" t="inlineStr">
        <is>
          <t>דורש תשומת לב = חריגה של עד 10% מהתקציב. חריגה = מעל 10%.</t>
        </is>
      </c>
    </row>
    <row r="15" ht="40" customHeight="1">
      <c r="B15" s="27" t="inlineStr">
        <is>
          <t>אפשר לעקוב אחרי כמה פרויקטים בו-זמנית?</t>
        </is>
      </c>
      <c r="C15" s="25" t="inlineStr">
        <is>
          <t>כן — כל שורה משויכת לשם פרויקט, כך שלוח הבקרה מסכם את כולם יחד.</t>
        </is>
      </c>
    </row>
    <row r="16" ht="40" customHeight="1">
      <c r="B16" s="27" t="inlineStr">
        <is>
          <t>איך מוסיפים קטגוריה חדשה?</t>
        </is>
      </c>
      <c r="C16" s="25" t="inlineStr">
        <is>
          <t>ערכו את רשימת הקטגוריות ברשימה הנפתחת של עמודה B, או הקלידו קטגוריה חופשית בתא.</t>
        </is>
      </c>
    </row>
  </sheetData>
  <mergeCells count="3">
    <mergeCell ref="A1:C1"/>
    <mergeCell ref="B13:C1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2026-09-13T19:00:17Z</dcterms:created>
  <dcterms:modified xsi:type="dcterms:W3CDTF">2026-09-13T19:00:17Z</dcterms:modified>
</cp:coreProperties>
</file>