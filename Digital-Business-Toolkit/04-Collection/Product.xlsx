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לוח בקרה" sheetId="1" state="visible" r:id="rId1"/>
    <sheet name="שולחן עבודה" sheetId="2" state="visible" r:id="rId2"/>
    <sheet name="התחלה מהירה" sheetId="3" state="visible" r:id="rId3"/>
    <sheet name="מדריך שימו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color rgb="001F4E78"/>
      <sz val="11"/>
    </font>
    <font>
      <name val="Calibri"/>
      <b val="1"/>
      <color rgb="00000000"/>
      <sz val="11"/>
    </font>
    <font>
      <name val="Calibri"/>
      <b val="1"/>
      <color rgb="00FFFFFF"/>
      <sz val="22"/>
    </font>
    <font>
      <name val="Calibri"/>
      <b val="1"/>
      <color rgb="0017365D"/>
      <sz val="10"/>
    </font>
    <font>
      <name val="Calibri"/>
      <b val="1"/>
      <color rgb="001F4E78"/>
      <sz val="18"/>
    </font>
    <font>
      <name val="Calibri"/>
      <b val="1"/>
      <color rgb="00FFFFFF"/>
      <sz val="13"/>
    </font>
    <font>
      <name val="Calibri"/>
      <color rgb="0017365D"/>
      <sz val="11"/>
    </font>
    <font>
      <name val="Calibri"/>
      <color rgb="00000000"/>
      <sz val="12"/>
    </font>
    <font>
      <name val="Calibri"/>
      <b val="1"/>
      <color rgb="001F4E78"/>
      <sz val="11"/>
    </font>
    <font>
      <name val="Calibri"/>
      <b val="1"/>
      <color rgb="0017365D"/>
      <sz val="12"/>
    </font>
    <font>
      <name val="Calibri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B7C6D6"/>
      </left>
      <right style="thin">
        <color rgb="00B7C6D6"/>
      </right>
      <top style="thin">
        <color rgb="00B7C6D6"/>
      </top>
      <bottom style="thin">
        <color rgb="00B7C6D6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7" fillId="5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166" fontId="8" fillId="6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right" vertical="center" wrapText="1"/>
    </xf>
    <xf numFmtId="0" fontId="10" fillId="4" borderId="0" applyAlignment="1" pivotButton="0" quotePrefix="0" xfId="0">
      <alignment horizontal="right" vertical="center" wrapText="1"/>
    </xf>
    <xf numFmtId="0" fontId="10" fillId="5" borderId="0" applyAlignment="1" pivotButton="0" quotePrefix="0" xfId="0">
      <alignment horizontal="right"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right" vertical="center" wrapText="1"/>
    </xf>
    <xf numFmtId="0" fontId="0" fillId="4" borderId="1" pivotButton="0" quotePrefix="0" xfId="0"/>
    <xf numFmtId="165" fontId="0" fillId="4" borderId="1" pivotButton="0" quotePrefix="0" xfId="0"/>
    <xf numFmtId="3" fontId="0" fillId="4" borderId="1" pivotButton="0" quotePrefix="0" xfId="0"/>
    <xf numFmtId="3" fontId="0" fillId="0" borderId="1" pivotButton="0" quotePrefix="0" xfId="0"/>
    <xf numFmtId="0" fontId="0" fillId="0" borderId="1" pivotButton="0" quotePrefix="0" xfId="0"/>
    <xf numFmtId="0" fontId="11" fillId="7" borderId="0" applyAlignment="1" pivotButton="0" quotePrefix="0" xfId="0">
      <alignment horizontal="right" vertical="center" wrapText="1"/>
    </xf>
    <xf numFmtId="0" fontId="12" fillId="5" borderId="0" applyAlignment="1" pivotButton="0" quotePrefix="0" xfId="0">
      <alignment horizontal="right" vertical="center" wrapText="1"/>
    </xf>
    <xf numFmtId="0" fontId="13" fillId="5" borderId="1" applyAlignment="1" pivotButton="0" quotePrefix="0" xfId="0">
      <alignment horizontal="right" vertical="center" wrapText="1"/>
    </xf>
    <xf numFmtId="0" fontId="14" fillId="0" borderId="1" applyAlignment="1" pivotButton="0" quotePrefix="0" xfId="0">
      <alignment horizontal="right" vertical="center" wrapText="1"/>
    </xf>
    <xf numFmtId="0" fontId="9" fillId="2" borderId="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B2:F11"/>
  <sheetViews>
    <sheetView showGridLines="0" rightToLeft="1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2" ht="46" customHeight="1">
      <c r="B2" s="1" t="inlineStr">
        <is>
          <t>לוח בקרה — ניהול גבייה</t>
        </is>
      </c>
      <c r="C2" s="2" t="n"/>
      <c r="D2" s="2" t="n"/>
      <c r="E2" s="2" t="n"/>
      <c r="F2" s="2" t="n"/>
    </row>
    <row r="3" ht="22" customHeight="1">
      <c r="B3" s="3" t="inlineStr">
        <is>
          <t>ContractorOS — קבלו תשלום בזמן, בכל פעם</t>
        </is>
      </c>
      <c r="C3" s="4" t="n"/>
      <c r="D3" s="4" t="n"/>
      <c r="E3" s="4" t="n"/>
      <c r="F3" s="4" t="n"/>
    </row>
    <row r="5" ht="30" customHeight="1">
      <c r="B5" s="5" t="inlineStr">
        <is>
          <t>סה"כ חיוב (₪)</t>
        </is>
      </c>
      <c r="C5" s="5" t="inlineStr">
        <is>
          <t>סה"כ שולם (₪)</t>
        </is>
      </c>
      <c r="D5" s="5" t="inlineStr">
        <is>
          <t>יתרה לגבייה (₪)</t>
        </is>
      </c>
      <c r="E5" s="5" t="inlineStr">
        <is>
          <t>חשבוניות באיחור</t>
        </is>
      </c>
      <c r="F5" s="5" t="inlineStr">
        <is>
          <t>אחוז גבייה</t>
        </is>
      </c>
    </row>
    <row r="6" ht="34" customHeight="1">
      <c r="B6" s="6">
        <f>SUM('שולחן עבודה'!E4:E33)</f>
        <v/>
      </c>
      <c r="C6" s="6">
        <f>SUM('שולחן עבודה'!F4:F33)</f>
        <v/>
      </c>
      <c r="D6" s="6">
        <f>SUM('שולחן עבודה'!G4:G33)</f>
        <v/>
      </c>
      <c r="E6" s="6">
        <f>COUNTIF('שולחן עבודה'!I4:I33,"באיחור")</f>
        <v/>
      </c>
      <c r="F6" s="7">
        <f>IFERROR(SUM('שולחן עבודה'!F4:F33)/SUM('שולחן עבודה'!E4:E33),0)</f>
        <v/>
      </c>
    </row>
    <row r="9" ht="26" customHeight="1">
      <c r="B9" s="8" t="inlineStr">
        <is>
          <t>⚠ תובנות עסקיות והתראות</t>
        </is>
      </c>
    </row>
    <row r="10" ht="22" customHeight="1">
      <c r="B10" s="9">
        <f>IF(COUNTIF('שולחן עבודה'!I4:I33,"באיחור")&gt;0,"יש "&amp;COUNTIF('שולחן עבודה'!I4:I33,"באיחור")&amp;" תשלומים באיחור — כדאי ליצור קשר עם הלקוחות.","אין תשלומים באיחור כרגע.")</f>
        <v/>
      </c>
    </row>
    <row r="11" ht="22" customHeight="1">
      <c r="B11" s="10">
        <f>IF(SUM('שולחן עבודה'!G4:G33)&gt;SUM('שולחן עבודה'!E4:E33)*0.3,"מעל 30% מהחיוב הכולל עדיין לא נגבה.","רמת הגבייה בטווח בריא.")</f>
        <v/>
      </c>
    </row>
  </sheetData>
  <mergeCells count="5">
    <mergeCell ref="B2:F2"/>
    <mergeCell ref="B10:F10"/>
    <mergeCell ref="B11:F11"/>
    <mergeCell ref="B3:F3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7365D"/>
    <outlinePr summaryBelow="1" summaryRight="1"/>
    <pageSetUpPr/>
  </sheetPr>
  <dimension ref="A1:J33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6" customWidth="1" min="9" max="9"/>
    <col width="10" customWidth="1" min="10" max="10"/>
  </cols>
  <sheetData>
    <row r="1" ht="44" customHeight="1">
      <c r="A1" s="11" t="inlineStr">
        <is>
          <t>ניהול גבייה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הזינו נתונים בתאים הצהובים בלבד — יתרה וסטטוס מחושבים אוטומטית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 ht="34" customHeight="1">
      <c r="A3" s="12" t="inlineStr">
        <is>
          <t>לקוח</t>
        </is>
      </c>
      <c r="B3" s="12" t="inlineStr">
        <is>
          <t>שם פרויקט</t>
        </is>
      </c>
      <c r="C3" s="12" t="inlineStr">
        <is>
          <t>מס' חשבונית</t>
        </is>
      </c>
      <c r="D3" s="12" t="inlineStr">
        <is>
          <t>תאריך הפקה</t>
        </is>
      </c>
      <c r="E3" s="12" t="inlineStr">
        <is>
          <t>סכום</t>
        </is>
      </c>
      <c r="F3" s="12" t="inlineStr">
        <is>
          <t>תשלום שבוצע</t>
        </is>
      </c>
      <c r="G3" s="12" t="inlineStr">
        <is>
          <t>יתרה</t>
        </is>
      </c>
      <c r="H3" s="12" t="inlineStr">
        <is>
          <t>תאריך יעד</t>
        </is>
      </c>
      <c r="I3" s="12" t="inlineStr">
        <is>
          <t>סטטוס</t>
        </is>
      </c>
      <c r="J3" s="12" t="inlineStr">
        <is>
          <t>הערות</t>
        </is>
      </c>
    </row>
    <row r="4">
      <c r="A4" s="13" t="inlineStr">
        <is>
          <t>משפחת כהן</t>
        </is>
      </c>
      <c r="B4" s="13" t="inlineStr">
        <is>
          <t>שיפוץ מטבח - וילה כהן</t>
        </is>
      </c>
      <c r="C4" s="14" t="inlineStr">
        <is>
          <t>INV-2001</t>
        </is>
      </c>
      <c r="D4" s="15" t="n">
        <v>46032</v>
      </c>
      <c r="E4" s="16" t="n">
        <v>8000</v>
      </c>
      <c r="F4" s="16" t="n">
        <v>8000</v>
      </c>
      <c r="G4" s="17">
        <f>E4-F4</f>
        <v/>
      </c>
      <c r="H4" s="15" t="n">
        <v>46046</v>
      </c>
      <c r="I4" s="18">
        <f>IF(G4&lt;=0,"שולם",IF(F4=0,IF(TODAY()&gt;H4,"באיחור","פתוח"),IF(TODAY()&gt;H4,"באיחור","שולם חלקית")))</f>
        <v/>
      </c>
      <c r="J4" s="19" t="inlineStr"/>
    </row>
    <row r="5">
      <c r="A5" s="13" t="inlineStr">
        <is>
          <t>עו"ד לוי</t>
        </is>
      </c>
      <c r="B5" s="13" t="inlineStr">
        <is>
          <t>החלפת לוח חשמל</t>
        </is>
      </c>
      <c r="C5" s="14" t="inlineStr">
        <is>
          <t>INV-2002</t>
        </is>
      </c>
      <c r="D5" s="15" t="n">
        <v>46054</v>
      </c>
      <c r="E5" s="16" t="n">
        <v>4200</v>
      </c>
      <c r="F5" s="16" t="n">
        <v>2000</v>
      </c>
      <c r="G5" s="17">
        <f>E5-F5</f>
        <v/>
      </c>
      <c r="H5" s="15" t="n">
        <v>46068</v>
      </c>
      <c r="I5" s="18">
        <f>IF(G5&lt;=0,"שולם",IF(F5=0,IF(TODAY()&gt;H5,"באיחור","פתוח"),IF(TODAY()&gt;H5,"באיחור","שולם חלקית")))</f>
        <v/>
      </c>
      <c r="J5" s="19" t="inlineStr"/>
    </row>
    <row r="6">
      <c r="A6" s="13" t="inlineStr">
        <is>
          <t>מסעדת האורן</t>
        </is>
      </c>
      <c r="B6" s="13" t="inlineStr">
        <is>
          <t>התקנת מיזוג 3 יח'</t>
        </is>
      </c>
      <c r="C6" s="14" t="inlineStr">
        <is>
          <t>INV-2003</t>
        </is>
      </c>
      <c r="D6" s="15" t="n">
        <v>46042</v>
      </c>
      <c r="E6" s="16" t="n">
        <v>5000</v>
      </c>
      <c r="F6" s="16" t="n">
        <v>0</v>
      </c>
      <c r="G6" s="17">
        <f>E6-F6</f>
        <v/>
      </c>
      <c r="H6" s="15" t="n">
        <v>46049</v>
      </c>
      <c r="I6" s="18">
        <f>IF(G6&lt;=0,"שולם",IF(F6=0,IF(TODAY()&gt;H6,"באיחור","פתוח"),IF(TODAY()&gt;H6,"באיחור","שולם חלקית")))</f>
        <v/>
      </c>
      <c r="J6" s="19" t="inlineStr"/>
    </row>
    <row r="7">
      <c r="A7" s="13" t="inlineStr">
        <is>
          <t>בניין רוטשילד</t>
        </is>
      </c>
      <c r="B7" s="13" t="inlineStr">
        <is>
          <t>איטום גג</t>
        </is>
      </c>
      <c r="C7" s="14" t="inlineStr">
        <is>
          <t>INV-2004</t>
        </is>
      </c>
      <c r="D7" s="15" t="n">
        <v>46006</v>
      </c>
      <c r="E7" s="16" t="n">
        <v>6800</v>
      </c>
      <c r="F7" s="16" t="n">
        <v>6800</v>
      </c>
      <c r="G7" s="17">
        <f>E7-F7</f>
        <v/>
      </c>
      <c r="H7" s="15" t="n">
        <v>46020</v>
      </c>
      <c r="I7" s="18">
        <f>IF(G7&lt;=0,"שולם",IF(F7=0,IF(TODAY()&gt;H7,"באיחור","פתוח"),IF(TODAY()&gt;H7,"באיחור","שולם חלקית")))</f>
        <v/>
      </c>
      <c r="J7" s="19" t="inlineStr"/>
    </row>
    <row r="8">
      <c r="A8" s="13" t="inlineStr">
        <is>
          <t>דירת גורן</t>
        </is>
      </c>
      <c r="B8" s="13" t="inlineStr">
        <is>
          <t>ריצוף חדר אמבטיה</t>
        </is>
      </c>
      <c r="C8" s="14" t="inlineStr">
        <is>
          <t>INV-2005</t>
        </is>
      </c>
      <c r="D8" s="15" t="n">
        <v>46058</v>
      </c>
      <c r="E8" s="16" t="n">
        <v>7500</v>
      </c>
      <c r="F8" s="16" t="n">
        <v>0</v>
      </c>
      <c r="G8" s="17">
        <f>E8-F8</f>
        <v/>
      </c>
      <c r="H8" s="15" t="n">
        <v>46072</v>
      </c>
      <c r="I8" s="18">
        <f>IF(G8&lt;=0,"שולם",IF(F8=0,IF(TODAY()&gt;H8,"באיחור","פתוח"),IF(TODAY()&gt;H8,"באיחור","שולם חלקית")))</f>
        <v/>
      </c>
      <c r="J8" s="19" t="inlineStr"/>
    </row>
    <row r="9">
      <c r="A9" s="20" t="n"/>
      <c r="B9" s="20" t="n"/>
      <c r="C9" s="20" t="n"/>
      <c r="D9" s="21" t="n"/>
      <c r="E9" s="22" t="n"/>
      <c r="F9" s="22" t="n"/>
      <c r="G9" s="23">
        <f>IF(C9="","",E9-F9)</f>
        <v/>
      </c>
      <c r="H9" s="21" t="n"/>
      <c r="I9" s="24">
        <f>IF(C9="","",IF(G9&lt;=0,"שולם",IF(F9=0,IF(TODAY()&gt;H9,"באיחור","פתוח"),IF(TODAY()&gt;H9,"באיחור","שולם חלקית"))))</f>
        <v/>
      </c>
      <c r="J9" s="20" t="n"/>
    </row>
    <row r="10">
      <c r="A10" s="20" t="n"/>
      <c r="B10" s="20" t="n"/>
      <c r="C10" s="20" t="n"/>
      <c r="D10" s="21" t="n"/>
      <c r="E10" s="22" t="n"/>
      <c r="F10" s="22" t="n"/>
      <c r="G10" s="23">
        <f>IF(C10="","",E10-F10)</f>
        <v/>
      </c>
      <c r="H10" s="21" t="n"/>
      <c r="I10" s="24">
        <f>IF(C10="","",IF(G10&lt;=0,"שולם",IF(F10=0,IF(TODAY()&gt;H10,"באיחור","פתוח"),IF(TODAY()&gt;H10,"באיחור","שולם חלקית"))))</f>
        <v/>
      </c>
      <c r="J10" s="20" t="n"/>
    </row>
    <row r="11">
      <c r="A11" s="20" t="n"/>
      <c r="B11" s="20" t="n"/>
      <c r="C11" s="20" t="n"/>
      <c r="D11" s="21" t="n"/>
      <c r="E11" s="22" t="n"/>
      <c r="F11" s="22" t="n"/>
      <c r="G11" s="23">
        <f>IF(C11="","",E11-F11)</f>
        <v/>
      </c>
      <c r="H11" s="21" t="n"/>
      <c r="I11" s="24">
        <f>IF(C11="","",IF(G11&lt;=0,"שולם",IF(F11=0,IF(TODAY()&gt;H11,"באיחור","פתוח"),IF(TODAY()&gt;H11,"באיחור","שולם חלקית"))))</f>
        <v/>
      </c>
      <c r="J11" s="20" t="n"/>
    </row>
    <row r="12">
      <c r="A12" s="20" t="n"/>
      <c r="B12" s="20" t="n"/>
      <c r="C12" s="20" t="n"/>
      <c r="D12" s="21" t="n"/>
      <c r="E12" s="22" t="n"/>
      <c r="F12" s="22" t="n"/>
      <c r="G12" s="23">
        <f>IF(C12="","",E12-F12)</f>
        <v/>
      </c>
      <c r="H12" s="21" t="n"/>
      <c r="I12" s="24">
        <f>IF(C12="","",IF(G12&lt;=0,"שולם",IF(F12=0,IF(TODAY()&gt;H12,"באיחור","פתוח"),IF(TODAY()&gt;H12,"באיחור","שולם חלקית"))))</f>
        <v/>
      </c>
      <c r="J12" s="20" t="n"/>
    </row>
    <row r="13">
      <c r="A13" s="20" t="n"/>
      <c r="B13" s="20" t="n"/>
      <c r="C13" s="20" t="n"/>
      <c r="D13" s="21" t="n"/>
      <c r="E13" s="22" t="n"/>
      <c r="F13" s="22" t="n"/>
      <c r="G13" s="23">
        <f>IF(C13="","",E13-F13)</f>
        <v/>
      </c>
      <c r="H13" s="21" t="n"/>
      <c r="I13" s="24">
        <f>IF(C13="","",IF(G13&lt;=0,"שולם",IF(F13=0,IF(TODAY()&gt;H13,"באיחור","פתוח"),IF(TODAY()&gt;H13,"באיחור","שולם חלקית"))))</f>
        <v/>
      </c>
      <c r="J13" s="20" t="n"/>
    </row>
    <row r="14">
      <c r="A14" s="20" t="n"/>
      <c r="B14" s="20" t="n"/>
      <c r="C14" s="20" t="n"/>
      <c r="D14" s="21" t="n"/>
      <c r="E14" s="22" t="n"/>
      <c r="F14" s="22" t="n"/>
      <c r="G14" s="23">
        <f>IF(C14="","",E14-F14)</f>
        <v/>
      </c>
      <c r="H14" s="21" t="n"/>
      <c r="I14" s="24">
        <f>IF(C14="","",IF(G14&lt;=0,"שולם",IF(F14=0,IF(TODAY()&gt;H14,"באיחור","פתוח"),IF(TODAY()&gt;H14,"באיחור","שולם חלקית"))))</f>
        <v/>
      </c>
      <c r="J14" s="20" t="n"/>
    </row>
    <row r="15">
      <c r="A15" s="20" t="n"/>
      <c r="B15" s="20" t="n"/>
      <c r="C15" s="20" t="n"/>
      <c r="D15" s="21" t="n"/>
      <c r="E15" s="22" t="n"/>
      <c r="F15" s="22" t="n"/>
      <c r="G15" s="23">
        <f>IF(C15="","",E15-F15)</f>
        <v/>
      </c>
      <c r="H15" s="21" t="n"/>
      <c r="I15" s="24">
        <f>IF(C15="","",IF(G15&lt;=0,"שולם",IF(F15=0,IF(TODAY()&gt;H15,"באיחור","פתוח"),IF(TODAY()&gt;H15,"באיחור","שולם חלקית"))))</f>
        <v/>
      </c>
      <c r="J15" s="20" t="n"/>
    </row>
    <row r="16">
      <c r="A16" s="20" t="n"/>
      <c r="B16" s="20" t="n"/>
      <c r="C16" s="20" t="n"/>
      <c r="D16" s="21" t="n"/>
      <c r="E16" s="22" t="n"/>
      <c r="F16" s="22" t="n"/>
      <c r="G16" s="23">
        <f>IF(C16="","",E16-F16)</f>
        <v/>
      </c>
      <c r="H16" s="21" t="n"/>
      <c r="I16" s="24">
        <f>IF(C16="","",IF(G16&lt;=0,"שולם",IF(F16=0,IF(TODAY()&gt;H16,"באיחור","פתוח"),IF(TODAY()&gt;H16,"באיחור","שולם חלקית"))))</f>
        <v/>
      </c>
      <c r="J16" s="20" t="n"/>
    </row>
    <row r="17">
      <c r="A17" s="20" t="n"/>
      <c r="B17" s="20" t="n"/>
      <c r="C17" s="20" t="n"/>
      <c r="D17" s="21" t="n"/>
      <c r="E17" s="22" t="n"/>
      <c r="F17" s="22" t="n"/>
      <c r="G17" s="23">
        <f>IF(C17="","",E17-F17)</f>
        <v/>
      </c>
      <c r="H17" s="21" t="n"/>
      <c r="I17" s="24">
        <f>IF(C17="","",IF(G17&lt;=0,"שולם",IF(F17=0,IF(TODAY()&gt;H17,"באיחור","פתוח"),IF(TODAY()&gt;H17,"באיחור","שולם חלקית"))))</f>
        <v/>
      </c>
      <c r="J17" s="20" t="n"/>
    </row>
    <row r="18">
      <c r="A18" s="20" t="n"/>
      <c r="B18" s="20" t="n"/>
      <c r="C18" s="20" t="n"/>
      <c r="D18" s="21" t="n"/>
      <c r="E18" s="22" t="n"/>
      <c r="F18" s="22" t="n"/>
      <c r="G18" s="23">
        <f>IF(C18="","",E18-F18)</f>
        <v/>
      </c>
      <c r="H18" s="21" t="n"/>
      <c r="I18" s="24">
        <f>IF(C18="","",IF(G18&lt;=0,"שולם",IF(F18=0,IF(TODAY()&gt;H18,"באיחור","פתוח"),IF(TODAY()&gt;H18,"באיחור","שולם חלקית"))))</f>
        <v/>
      </c>
      <c r="J18" s="20" t="n"/>
    </row>
    <row r="19">
      <c r="A19" s="20" t="n"/>
      <c r="B19" s="20" t="n"/>
      <c r="C19" s="20" t="n"/>
      <c r="D19" s="21" t="n"/>
      <c r="E19" s="22" t="n"/>
      <c r="F19" s="22" t="n"/>
      <c r="G19" s="23">
        <f>IF(C19="","",E19-F19)</f>
        <v/>
      </c>
      <c r="H19" s="21" t="n"/>
      <c r="I19" s="24">
        <f>IF(C19="","",IF(G19&lt;=0,"שולם",IF(F19=0,IF(TODAY()&gt;H19,"באיחור","פתוח"),IF(TODAY()&gt;H19,"באיחור","שולם חלקית"))))</f>
        <v/>
      </c>
      <c r="J19" s="20" t="n"/>
    </row>
    <row r="20">
      <c r="A20" s="20" t="n"/>
      <c r="B20" s="20" t="n"/>
      <c r="C20" s="20" t="n"/>
      <c r="D20" s="21" t="n"/>
      <c r="E20" s="22" t="n"/>
      <c r="F20" s="22" t="n"/>
      <c r="G20" s="23">
        <f>IF(C20="","",E20-F20)</f>
        <v/>
      </c>
      <c r="H20" s="21" t="n"/>
      <c r="I20" s="24">
        <f>IF(C20="","",IF(G20&lt;=0,"שולם",IF(F20=0,IF(TODAY()&gt;H20,"באיחור","פתוח"),IF(TODAY()&gt;H20,"באיחור","שולם חלקית"))))</f>
        <v/>
      </c>
      <c r="J20" s="20" t="n"/>
    </row>
    <row r="21">
      <c r="A21" s="20" t="n"/>
      <c r="B21" s="20" t="n"/>
      <c r="C21" s="20" t="n"/>
      <c r="D21" s="21" t="n"/>
      <c r="E21" s="22" t="n"/>
      <c r="F21" s="22" t="n"/>
      <c r="G21" s="23">
        <f>IF(C21="","",E21-F21)</f>
        <v/>
      </c>
      <c r="H21" s="21" t="n"/>
      <c r="I21" s="24">
        <f>IF(C21="","",IF(G21&lt;=0,"שולם",IF(F21=0,IF(TODAY()&gt;H21,"באיחור","פתוח"),IF(TODAY()&gt;H21,"באיחור","שולם חלקית"))))</f>
        <v/>
      </c>
      <c r="J21" s="20" t="n"/>
    </row>
    <row r="22">
      <c r="A22" s="20" t="n"/>
      <c r="B22" s="20" t="n"/>
      <c r="C22" s="20" t="n"/>
      <c r="D22" s="21" t="n"/>
      <c r="E22" s="22" t="n"/>
      <c r="F22" s="22" t="n"/>
      <c r="G22" s="23">
        <f>IF(C22="","",E22-F22)</f>
        <v/>
      </c>
      <c r="H22" s="21" t="n"/>
      <c r="I22" s="24">
        <f>IF(C22="","",IF(G22&lt;=0,"שולם",IF(F22=0,IF(TODAY()&gt;H22,"באיחור","פתוח"),IF(TODAY()&gt;H22,"באיחור","שולם חלקית"))))</f>
        <v/>
      </c>
      <c r="J22" s="20" t="n"/>
    </row>
    <row r="23">
      <c r="A23" s="20" t="n"/>
      <c r="B23" s="20" t="n"/>
      <c r="C23" s="20" t="n"/>
      <c r="D23" s="21" t="n"/>
      <c r="E23" s="22" t="n"/>
      <c r="F23" s="22" t="n"/>
      <c r="G23" s="23">
        <f>IF(C23="","",E23-F23)</f>
        <v/>
      </c>
      <c r="H23" s="21" t="n"/>
      <c r="I23" s="24">
        <f>IF(C23="","",IF(G23&lt;=0,"שולם",IF(F23=0,IF(TODAY()&gt;H23,"באיחור","פתוח"),IF(TODAY()&gt;H23,"באיחור","שולם חלקית"))))</f>
        <v/>
      </c>
      <c r="J23" s="20" t="n"/>
    </row>
    <row r="24">
      <c r="A24" s="20" t="n"/>
      <c r="B24" s="20" t="n"/>
      <c r="C24" s="20" t="n"/>
      <c r="D24" s="21" t="n"/>
      <c r="E24" s="22" t="n"/>
      <c r="F24" s="22" t="n"/>
      <c r="G24" s="23">
        <f>IF(C24="","",E24-F24)</f>
        <v/>
      </c>
      <c r="H24" s="21" t="n"/>
      <c r="I24" s="24">
        <f>IF(C24="","",IF(G24&lt;=0,"שולם",IF(F24=0,IF(TODAY()&gt;H24,"באיחור","פתוח"),IF(TODAY()&gt;H24,"באיחור","שולם חלקית"))))</f>
        <v/>
      </c>
      <c r="J24" s="20" t="n"/>
    </row>
    <row r="25">
      <c r="A25" s="20" t="n"/>
      <c r="B25" s="20" t="n"/>
      <c r="C25" s="20" t="n"/>
      <c r="D25" s="21" t="n"/>
      <c r="E25" s="22" t="n"/>
      <c r="F25" s="22" t="n"/>
      <c r="G25" s="23">
        <f>IF(C25="","",E25-F25)</f>
        <v/>
      </c>
      <c r="H25" s="21" t="n"/>
      <c r="I25" s="24">
        <f>IF(C25="","",IF(G25&lt;=0,"שולם",IF(F25=0,IF(TODAY()&gt;H25,"באיחור","פתוח"),IF(TODAY()&gt;H25,"באיחור","שולם חלקית"))))</f>
        <v/>
      </c>
      <c r="J25" s="20" t="n"/>
    </row>
    <row r="26">
      <c r="A26" s="20" t="n"/>
      <c r="B26" s="20" t="n"/>
      <c r="C26" s="20" t="n"/>
      <c r="D26" s="21" t="n"/>
      <c r="E26" s="22" t="n"/>
      <c r="F26" s="22" t="n"/>
      <c r="G26" s="23">
        <f>IF(C26="","",E26-F26)</f>
        <v/>
      </c>
      <c r="H26" s="21" t="n"/>
      <c r="I26" s="24">
        <f>IF(C26="","",IF(G26&lt;=0,"שולם",IF(F26=0,IF(TODAY()&gt;H26,"באיחור","פתוח"),IF(TODAY()&gt;H26,"באיחור","שולם חלקית"))))</f>
        <v/>
      </c>
      <c r="J26" s="20" t="n"/>
    </row>
    <row r="27">
      <c r="A27" s="20" t="n"/>
      <c r="B27" s="20" t="n"/>
      <c r="C27" s="20" t="n"/>
      <c r="D27" s="21" t="n"/>
      <c r="E27" s="22" t="n"/>
      <c r="F27" s="22" t="n"/>
      <c r="G27" s="23">
        <f>IF(C27="","",E27-F27)</f>
        <v/>
      </c>
      <c r="H27" s="21" t="n"/>
      <c r="I27" s="24">
        <f>IF(C27="","",IF(G27&lt;=0,"שולם",IF(F27=0,IF(TODAY()&gt;H27,"באיחור","פתוח"),IF(TODAY()&gt;H27,"באיחור","שולם חלקית"))))</f>
        <v/>
      </c>
      <c r="J27" s="20" t="n"/>
    </row>
    <row r="28">
      <c r="A28" s="20" t="n"/>
      <c r="B28" s="20" t="n"/>
      <c r="C28" s="20" t="n"/>
      <c r="D28" s="21" t="n"/>
      <c r="E28" s="22" t="n"/>
      <c r="F28" s="22" t="n"/>
      <c r="G28" s="23">
        <f>IF(C28="","",E28-F28)</f>
        <v/>
      </c>
      <c r="H28" s="21" t="n"/>
      <c r="I28" s="24">
        <f>IF(C28="","",IF(G28&lt;=0,"שולם",IF(F28=0,IF(TODAY()&gt;H28,"באיחור","פתוח"),IF(TODAY()&gt;H28,"באיחור","שולם חלקית"))))</f>
        <v/>
      </c>
      <c r="J28" s="20" t="n"/>
    </row>
    <row r="29">
      <c r="A29" s="20" t="n"/>
      <c r="B29" s="20" t="n"/>
      <c r="C29" s="20" t="n"/>
      <c r="D29" s="21" t="n"/>
      <c r="E29" s="22" t="n"/>
      <c r="F29" s="22" t="n"/>
      <c r="G29" s="23">
        <f>IF(C29="","",E29-F29)</f>
        <v/>
      </c>
      <c r="H29" s="21" t="n"/>
      <c r="I29" s="24">
        <f>IF(C29="","",IF(G29&lt;=0,"שולם",IF(F29=0,IF(TODAY()&gt;H29,"באיחור","פתוח"),IF(TODAY()&gt;H29,"באיחור","שולם חלקית"))))</f>
        <v/>
      </c>
      <c r="J29" s="20" t="n"/>
    </row>
    <row r="30">
      <c r="A30" s="20" t="n"/>
      <c r="B30" s="20" t="n"/>
      <c r="C30" s="20" t="n"/>
      <c r="D30" s="21" t="n"/>
      <c r="E30" s="22" t="n"/>
      <c r="F30" s="22" t="n"/>
      <c r="G30" s="23">
        <f>IF(C30="","",E30-F30)</f>
        <v/>
      </c>
      <c r="H30" s="21" t="n"/>
      <c r="I30" s="24">
        <f>IF(C30="","",IF(G30&lt;=0,"שולם",IF(F30=0,IF(TODAY()&gt;H30,"באיחור","פתוח"),IF(TODAY()&gt;H30,"באיחור","שולם חלקית"))))</f>
        <v/>
      </c>
      <c r="J30" s="20" t="n"/>
    </row>
    <row r="31">
      <c r="A31" s="20" t="n"/>
      <c r="B31" s="20" t="n"/>
      <c r="C31" s="20" t="n"/>
      <c r="D31" s="21" t="n"/>
      <c r="E31" s="22" t="n"/>
      <c r="F31" s="22" t="n"/>
      <c r="G31" s="23">
        <f>IF(C31="","",E31-F31)</f>
        <v/>
      </c>
      <c r="H31" s="21" t="n"/>
      <c r="I31" s="24">
        <f>IF(C31="","",IF(G31&lt;=0,"שולם",IF(F31=0,IF(TODAY()&gt;H31,"באיחור","פתוח"),IF(TODAY()&gt;H31,"באיחור","שולם חלקית"))))</f>
        <v/>
      </c>
      <c r="J31" s="20" t="n"/>
    </row>
    <row r="32">
      <c r="A32" s="20" t="n"/>
      <c r="B32" s="20" t="n"/>
      <c r="C32" s="20" t="n"/>
      <c r="D32" s="21" t="n"/>
      <c r="E32" s="22" t="n"/>
      <c r="F32" s="22" t="n"/>
      <c r="G32" s="23">
        <f>IF(C32="","",E32-F32)</f>
        <v/>
      </c>
      <c r="H32" s="21" t="n"/>
      <c r="I32" s="24">
        <f>IF(C32="","",IF(G32&lt;=0,"שולם",IF(F32=0,IF(TODAY()&gt;H32,"באיחור","פתוח"),IF(TODAY()&gt;H32,"באיחור","שולם חלקית"))))</f>
        <v/>
      </c>
      <c r="J32" s="20" t="n"/>
    </row>
    <row r="33">
      <c r="A33" s="20" t="n"/>
      <c r="B33" s="20" t="n"/>
      <c r="C33" s="20" t="n"/>
      <c r="D33" s="21" t="n"/>
      <c r="E33" s="22" t="n"/>
      <c r="F33" s="22" t="n"/>
      <c r="G33" s="23">
        <f>IF(C33="","",E33-F33)</f>
        <v/>
      </c>
      <c r="H33" s="21" t="n"/>
      <c r="I33" s="24">
        <f>IF(C33="","",IF(G33&lt;=0,"שולם",IF(F33=0,IF(TODAY()&gt;H33,"באיחור","פתוח"),IF(TODAY()&gt;H33,"באיחור","שולם חלקית"))))</f>
        <v/>
      </c>
      <c r="J33" s="20" t="n"/>
    </row>
  </sheetData>
  <mergeCells count="2">
    <mergeCell ref="A1:J1"/>
    <mergeCell ref="A2:J2"/>
  </mergeCells>
  <conditionalFormatting sqref="I4:I33">
    <cfRule type="expression" priority="1" dxfId="0">
      <formula>$I4="שולם"</formula>
    </cfRule>
    <cfRule type="expression" priority="2" dxfId="1">
      <formula>$I4="פתוח"</formula>
    </cfRule>
    <cfRule type="expression" priority="3" dxfId="1">
      <formula>$I4="שולם חלקית"</formula>
    </cfRule>
    <cfRule type="expression" priority="4" dxfId="2">
      <formula>$I4="באיחור"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2F0D9"/>
    <outlinePr summaryBelow="1" summaryRight="1"/>
    <pageSetUpPr/>
  </sheetPr>
  <dimension ref="A1:B14"/>
  <sheetViews>
    <sheetView showGridLines="0" rightToLeft="1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44" customHeight="1">
      <c r="A1" s="11" t="inlineStr">
        <is>
          <t>התחלה מהירה</t>
        </is>
      </c>
      <c r="B1" s="2" t="n"/>
    </row>
    <row r="2" ht="24" customHeight="1">
      <c r="A2" s="3" t="inlineStr">
        <is>
          <t>5 צעדים ואתם בפנים</t>
        </is>
      </c>
      <c r="B2" s="4" t="n"/>
    </row>
    <row r="4" ht="34" customHeight="1">
      <c r="A4" s="25" t="inlineStr">
        <is>
          <t>1. עברו ללשונית 'שולחן עבודה'.</t>
        </is>
      </c>
    </row>
    <row r="6" ht="34" customHeight="1">
      <c r="A6" s="25" t="inlineStr">
        <is>
          <t>2. הוסיפו שורה לכל חשבונית/דרישת תשלום — לקוח, פרויקט, מספר חשבונית, תאריך הפקה וסכום.</t>
        </is>
      </c>
    </row>
    <row r="8" ht="34" customHeight="1">
      <c r="A8" s="25" t="inlineStr">
        <is>
          <t>3. עדכנו 'תשלום שבוצע' בכל פעם שמתקבל תשלום — היתרה מתעדכנת אוטומטית.</t>
        </is>
      </c>
    </row>
    <row r="10" ht="34" customHeight="1">
      <c r="A10" s="25" t="inlineStr">
        <is>
          <t>4. הזינו תאריך יעד לתשלום — הסטטוס (שולם/פתוח/שולם חלקית/באיחור) מתעדכן אוטומטית לפי התאריך.</t>
        </is>
      </c>
    </row>
    <row r="12" ht="34" customHeight="1">
      <c r="A12" s="25" t="inlineStr">
        <is>
          <t>5. עברו ל-לוח הבקרה לראות כמה עדיין צריך לגבות ומי באיחור.</t>
        </is>
      </c>
    </row>
    <row r="14" ht="40" customHeight="1">
      <c r="A14" s="26" t="inlineStr">
        <is>
          <t>טיפ: בדקו את לוח הבקרה פעם בשבוע ופנו מיידית ללקוחות שסומנו 'באיחור'.</t>
        </is>
      </c>
    </row>
  </sheetData>
  <mergeCells count="8">
    <mergeCell ref="A4:B4"/>
    <mergeCell ref="A2:B2"/>
    <mergeCell ref="A10:B10"/>
    <mergeCell ref="A14:B14"/>
    <mergeCell ref="A1:B1"/>
    <mergeCell ref="A8:B8"/>
    <mergeCell ref="A6:B6"/>
    <mergeCell ref="A12:B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9EAF7"/>
    <outlinePr summaryBelow="1" summaryRight="1"/>
    <pageSetUpPr/>
  </sheetPr>
  <dimension ref="A1:C16"/>
  <sheetViews>
    <sheetView showGridLines="0" rightToLeft="1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70" customWidth="1" min="3" max="3"/>
  </cols>
  <sheetData>
    <row r="1" ht="44" customHeight="1">
      <c r="A1" s="11" t="inlineStr">
        <is>
          <t>מדריך שימוש</t>
        </is>
      </c>
      <c r="B1" s="2" t="n"/>
      <c r="C1" s="2" t="n"/>
    </row>
    <row r="2" ht="24" customHeight="1">
      <c r="A2" s="3" t="inlineStr">
        <is>
          <t>הסבר מלא לכל שדה ולכל חישוב</t>
        </is>
      </c>
      <c r="B2" s="4" t="n"/>
      <c r="C2" s="4" t="n"/>
    </row>
    <row r="4" ht="46" customHeight="1">
      <c r="B4" s="27" t="inlineStr">
        <is>
          <t>מה זה?</t>
        </is>
      </c>
      <c r="C4" s="28" t="inlineStr">
        <is>
          <t>כלי למעקב גבייה — כמה חויב, כמה שולם, וכמה עדיין נשאר לגבות מכל לקוח.</t>
        </is>
      </c>
    </row>
    <row r="5" ht="46" customHeight="1">
      <c r="B5" s="27" t="inlineStr">
        <is>
          <t>למי זה מתאים?</t>
        </is>
      </c>
      <c r="C5" s="28" t="inlineStr">
        <is>
          <t>כל בעל מקצוע שמנפיק חשבוניות/דרישות תשלום ורוצה למנוע תשלומים שנשכחים.</t>
        </is>
      </c>
    </row>
    <row r="6" ht="46" customHeight="1">
      <c r="B6" s="27" t="inlineStr">
        <is>
          <t>איזו בעיה זה פותר?</t>
        </is>
      </c>
      <c r="C6" s="28" t="inlineStr">
        <is>
          <t>תזרים מזומנים שנפגע כי לקוחות משלמים באיחור בלי שאתם שמים לב.</t>
        </is>
      </c>
    </row>
    <row r="7" ht="46" customHeight="1">
      <c r="B7" s="27" t="inlineStr">
        <is>
          <t>איך מתחילים?</t>
        </is>
      </c>
      <c r="C7" s="28" t="inlineStr">
        <is>
          <t>הזינו כל חשבונית כשורה, עדכנו תשלומים שמתקבלים.</t>
        </is>
      </c>
    </row>
    <row r="8" ht="46" customHeight="1">
      <c r="B8" s="27" t="inlineStr">
        <is>
          <t>מה צריך להזין?</t>
        </is>
      </c>
      <c r="C8" s="28" t="inlineStr">
        <is>
          <t>לקוח, פרויקט, מס' חשבונית, תאריך הפקה, סכום, תשלום שבוצע, תאריך יעד.</t>
        </is>
      </c>
    </row>
    <row r="9" ht="46" customHeight="1">
      <c r="B9" s="27" t="inlineStr">
        <is>
          <t>מה מחושב אוטומטית?</t>
        </is>
      </c>
      <c r="C9" s="28" t="inlineStr">
        <is>
          <t>יתרה לתשלום וסטטוס (שולם/פתוח/שולם חלקית/באיחור) — לפי תאריך היום מול תאריך היעד.</t>
        </is>
      </c>
    </row>
    <row r="10" ht="46" customHeight="1">
      <c r="B10" s="27" t="inlineStr">
        <is>
          <t>מה לוח הבקרה מציג?</t>
        </is>
      </c>
      <c r="C10" s="28" t="inlineStr">
        <is>
          <t>סה"כ חיוב, סה"כ שולם, יתרה לגבייה, מספר חשבוניות באיחור, ואחוז גבייה כללי.</t>
        </is>
      </c>
    </row>
    <row r="11" ht="46" customHeight="1">
      <c r="B11" s="27" t="inlineStr">
        <is>
          <t>טיפים</t>
        </is>
      </c>
      <c r="C11" s="28" t="inlineStr">
        <is>
          <t>עדכנו תשלומים חלקיים מיד עם קבלתם — כך הסטטוס תמיד משקף מציאות.</t>
        </is>
      </c>
    </row>
    <row r="13">
      <c r="B13" s="29" t="inlineStr">
        <is>
          <t>שאלות נפוצות</t>
        </is>
      </c>
    </row>
    <row r="14" ht="40" customHeight="1">
      <c r="B14" s="30" t="inlineStr">
        <is>
          <t>איך הסטטוס 'באיחור' מחושב?</t>
        </is>
      </c>
      <c r="C14" s="28" t="inlineStr">
        <is>
          <t>אוטומטית: אם היתרה גדולה מ-0 ותאריך היום עבר את תאריך היעד.</t>
        </is>
      </c>
    </row>
    <row r="15" ht="40" customHeight="1">
      <c r="B15" s="30" t="inlineStr">
        <is>
          <t>אפשר לערוך את הסטטוס ידנית?</t>
        </is>
      </c>
      <c r="C15" s="28" t="inlineStr">
        <is>
          <t>הסטטוס מבוסס נוסחה כדי שיישאר תמיד מדויק; לשינוי ידני יש להחליף לתא רגיל.</t>
        </is>
      </c>
    </row>
    <row r="16" ht="40" customHeight="1">
      <c r="B16" s="30" t="inlineStr">
        <is>
          <t>מה לגבי תשלומים בשקים/מזומן?</t>
        </is>
      </c>
      <c r="C16" s="28" t="inlineStr">
        <is>
          <t>הזינו את הסכום שהתקבל בפועל בעמודה 'תשלום שבוצע', ללא קשר לאמצעי התשלום.</t>
        </is>
      </c>
    </row>
  </sheetData>
  <mergeCells count="3">
    <mergeCell ref="A1:C1"/>
    <mergeCell ref="B13:C1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2026-09-13T19:00:17Z</dcterms:created>
  <dcterms:modified xsi:type="dcterms:W3CDTF">2026-09-13T19:00:17Z</dcterms:modified>
</cp:coreProperties>
</file>