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סיכום הצעות מחיר" sheetId="3" state="visible" r:id="rId3"/>
    <sheet name="התחלה מהירה" sheetId="4" state="visible" r:id="rId4"/>
    <sheet name="מדריך שימו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 wrapText="1"/>
    </xf>
    <xf numFmtId="0" fontId="11" fillId="4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0" fillId="4" borderId="1" pivotButton="0" quotePrefix="0" xfId="0"/>
    <xf numFmtId="9" fontId="0" fillId="4" borderId="1" pivotButton="0" quotePrefix="0" xfId="0"/>
    <xf numFmtId="3" fontId="0" fillId="0" borderId="1" pivotButton="0" quotePrefix="0" xfId="0"/>
    <xf numFmtId="3" fontId="6" fillId="0" borderId="1" pivotButton="0" quotePrefix="0" xfId="0"/>
    <xf numFmtId="0" fontId="0" fillId="0" borderId="1" pivotButton="0" quotePrefix="0" xfId="0"/>
    <xf numFmtId="0" fontId="12" fillId="7" borderId="0" applyAlignment="1" pivotButton="0" quotePrefix="0" xfId="0">
      <alignment horizontal="right" vertical="center" wrapText="1"/>
    </xf>
    <xf numFmtId="0" fontId="13" fillId="5" borderId="0" applyAlignment="1" pivotButton="0" quotePrefix="0" xfId="0">
      <alignment horizontal="right" vertical="center" wrapText="1"/>
    </xf>
    <xf numFmtId="0" fontId="1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בניית הצעות מחיר</t>
        </is>
      </c>
      <c r="C2" s="2" t="n"/>
      <c r="D2" s="2" t="n"/>
      <c r="E2" s="2" t="n"/>
      <c r="F2" s="2" t="n"/>
    </row>
    <row r="3" ht="22" customHeight="1">
      <c r="B3" s="3" t="inlineStr">
        <is>
          <t>JobMargin — שלחו הצעות מקצועיות וסגרו יותר עבודות</t>
        </is>
      </c>
      <c r="C3" s="4" t="n"/>
      <c r="D3" s="4" t="n"/>
      <c r="E3" s="4" t="n"/>
      <c r="F3" s="4" t="n"/>
    </row>
    <row r="5" ht="30" customHeight="1">
      <c r="B5" s="5" t="inlineStr">
        <is>
          <t>סה"כ הצעות</t>
        </is>
      </c>
      <c r="C5" s="5" t="inlineStr">
        <is>
          <t>שווי כולל הצעות (₪)</t>
        </is>
      </c>
      <c r="D5" s="5" t="inlineStr">
        <is>
          <t>הצעות שאושרו</t>
        </is>
      </c>
      <c r="E5" s="5" t="inlineStr">
        <is>
          <t>אחוז אישור</t>
        </is>
      </c>
      <c r="F5" s="5" t="inlineStr">
        <is>
          <t>הצעה ממוצעת (₪)</t>
        </is>
      </c>
    </row>
    <row r="6" ht="34" customHeight="1">
      <c r="B6" s="6">
        <f>COUNTA('סיכום הצעות מחיר'!A4:A25)</f>
        <v/>
      </c>
      <c r="C6" s="6">
        <f>SUM('סיכום הצעות מחיר'!H4:H25)</f>
        <v/>
      </c>
      <c r="D6" s="6">
        <f>COUNTIF('סיכום הצעות מחיר'!I4:I25,"אושרה")</f>
        <v/>
      </c>
      <c r="E6" s="7">
        <f>IFERROR(COUNTIF('סיכום הצעות מחיר'!I4:I25,"אושרה")/COUNTA('סיכום הצעות מחיר'!A4:A25),0)</f>
        <v/>
      </c>
      <c r="F6" s="6">
        <f>IFERROR(AVERAGE('סיכום הצעות מחיר'!H4:H25),0)</f>
        <v/>
      </c>
    </row>
    <row r="9" ht="26" customHeight="1">
      <c r="B9" s="8" t="inlineStr">
        <is>
          <t>⚠ תובנות עסקיות והתראות</t>
        </is>
      </c>
    </row>
    <row r="10" ht="22" customHeight="1">
      <c r="B10" s="9">
        <f>IF(COUNTIF('סיכום הצעות מחיר'!I4:I25,"טיוטה")&gt;0,"יש "&amp;COUNTIF('סיכום הצעות מחיר'!I4:I25,"טיוטה")&amp;" הצעות בטיוטה שטרם נשלחו.","כל ההצעות נשלחו ללקוחות.")</f>
        <v/>
      </c>
    </row>
    <row r="11" ht="22" customHeight="1">
      <c r="B11" s="10">
        <f>IF(COUNTA('סיכום הצעות מחיר'!A4:A25)=0,"עדיין לא הוזנו הצעות מחיר.","נתוני ההצעות מתעדכנים אוטומטית מהלשונית שולחן עבודה.")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K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2" customWidth="1" min="4" max="4"/>
    <col width="28" customWidth="1" min="5" max="5"/>
    <col width="9" customWidth="1" min="6" max="6"/>
    <col width="8" customWidth="1" min="7" max="7"/>
    <col width="11" customWidth="1" min="8" max="8"/>
    <col width="10" customWidth="1" min="9" max="9"/>
    <col width="12" customWidth="1" min="10" max="10"/>
    <col width="20" customWidth="1" min="11" max="11"/>
  </cols>
  <sheetData>
    <row r="1" ht="44" customHeight="1">
      <c r="A1" s="11" t="inlineStr">
        <is>
          <t>בניית הצעת מחיר - סעיפי הצעה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הזינו נתונים בתאים הצהובים בלבד — הסה"כ מחושב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4" customHeight="1">
      <c r="A3" s="12" t="inlineStr">
        <is>
          <t>מס' הצעה</t>
        </is>
      </c>
      <c r="B3" s="12" t="inlineStr">
        <is>
          <t>לקוח</t>
        </is>
      </c>
      <c r="C3" s="12" t="inlineStr">
        <is>
          <t>שם פרויקט</t>
        </is>
      </c>
      <c r="D3" s="12" t="inlineStr">
        <is>
          <t>תאריך</t>
        </is>
      </c>
      <c r="E3" s="12" t="inlineStr">
        <is>
          <t>תיאור עבודה</t>
        </is>
      </c>
      <c r="F3" s="12" t="inlineStr">
        <is>
          <t>יחידה</t>
        </is>
      </c>
      <c r="G3" s="12" t="inlineStr">
        <is>
          <t>כמות</t>
        </is>
      </c>
      <c r="H3" s="12" t="inlineStr">
        <is>
          <t>מחיר ליחידה</t>
        </is>
      </c>
      <c r="I3" s="12" t="inlineStr">
        <is>
          <t>הנחה %</t>
        </is>
      </c>
      <c r="J3" s="12" t="inlineStr">
        <is>
          <t>סה"כ שורה</t>
        </is>
      </c>
      <c r="K3" s="12" t="inlineStr">
        <is>
          <t>הערות</t>
        </is>
      </c>
    </row>
    <row r="4">
      <c r="A4" s="13" t="inlineStr">
        <is>
          <t>Q-1001</t>
        </is>
      </c>
      <c r="B4" s="14" t="inlineStr">
        <is>
          <t>משפחת כהן</t>
        </is>
      </c>
      <c r="C4" s="14" t="inlineStr">
        <is>
          <t>שיפוץ מטבח - וילה כהן</t>
        </is>
      </c>
      <c r="D4" s="13" t="inlineStr">
        <is>
          <t>2026-01-05</t>
        </is>
      </c>
      <c r="E4" s="14" t="inlineStr">
        <is>
          <t>פירוק והריסה</t>
        </is>
      </c>
      <c r="F4" s="13" t="inlineStr">
        <is>
          <t>קומפלט</t>
        </is>
      </c>
      <c r="G4" s="13" t="n">
        <v>1</v>
      </c>
      <c r="H4" s="15" t="n">
        <v>1500</v>
      </c>
      <c r="I4" s="16" t="n">
        <v>0</v>
      </c>
      <c r="J4" s="17">
        <f>G4*H4*(1-I4)</f>
        <v/>
      </c>
    </row>
    <row r="5">
      <c r="A5" s="13" t="inlineStr">
        <is>
          <t>Q-1001</t>
        </is>
      </c>
      <c r="B5" s="14" t="inlineStr">
        <is>
          <t>משפחת כהן</t>
        </is>
      </c>
      <c r="C5" s="14" t="inlineStr">
        <is>
          <t>שיפוץ מטבח - וילה כהן</t>
        </is>
      </c>
      <c r="D5" s="13" t="inlineStr">
        <is>
          <t>2026-01-05</t>
        </is>
      </c>
      <c r="E5" s="14" t="inlineStr">
        <is>
          <t>ארונות מטבח - ייצור והתקנה</t>
        </is>
      </c>
      <c r="F5" s="13" t="inlineStr">
        <is>
          <t>מ"א</t>
        </is>
      </c>
      <c r="G5" s="13" t="n">
        <v>6</v>
      </c>
      <c r="H5" s="15" t="n">
        <v>2200</v>
      </c>
      <c r="I5" s="16" t="n">
        <v>5</v>
      </c>
      <c r="J5" s="17">
        <f>G5*H5*(1-I5)</f>
        <v/>
      </c>
    </row>
    <row r="6">
      <c r="A6" s="13" t="inlineStr">
        <is>
          <t>Q-1001</t>
        </is>
      </c>
      <c r="B6" s="14" t="inlineStr">
        <is>
          <t>משפחת כהן</t>
        </is>
      </c>
      <c r="C6" s="14" t="inlineStr">
        <is>
          <t>שיפוץ מטבח - וילה כהן</t>
        </is>
      </c>
      <c r="D6" s="13" t="inlineStr">
        <is>
          <t>2026-01-05</t>
        </is>
      </c>
      <c r="E6" s="14" t="inlineStr">
        <is>
          <t>עבודות חשמל ותאורה</t>
        </is>
      </c>
      <c r="F6" s="13" t="inlineStr">
        <is>
          <t>קומפלט</t>
        </is>
      </c>
      <c r="G6" s="13" t="n">
        <v>1</v>
      </c>
      <c r="H6" s="15" t="n">
        <v>3200</v>
      </c>
      <c r="I6" s="16" t="n">
        <v>0</v>
      </c>
      <c r="J6" s="17">
        <f>G6*H6*(1-I6)</f>
        <v/>
      </c>
    </row>
    <row r="7">
      <c r="A7" s="13" t="inlineStr">
        <is>
          <t>Q-1002</t>
        </is>
      </c>
      <c r="B7" s="14" t="inlineStr">
        <is>
          <t>עו"ד לוי</t>
        </is>
      </c>
      <c r="C7" s="14" t="inlineStr">
        <is>
          <t>החלפת לוח חשמל</t>
        </is>
      </c>
      <c r="D7" s="13" t="inlineStr">
        <is>
          <t>2026-01-08</t>
        </is>
      </c>
      <c r="E7" s="14" t="inlineStr">
        <is>
          <t>לוח חשמל 3 פאזי 24 יציאות</t>
        </is>
      </c>
      <c r="F7" s="13" t="inlineStr">
        <is>
          <t>יח'</t>
        </is>
      </c>
      <c r="G7" s="13" t="n">
        <v>1</v>
      </c>
      <c r="H7" s="15" t="n">
        <v>3200</v>
      </c>
      <c r="I7" s="16" t="n">
        <v>0</v>
      </c>
      <c r="J7" s="17">
        <f>G7*H7*(1-I7)</f>
        <v/>
      </c>
    </row>
    <row r="8">
      <c r="A8" s="13" t="inlineStr">
        <is>
          <t>Q-1002</t>
        </is>
      </c>
      <c r="B8" s="14" t="inlineStr">
        <is>
          <t>עו"ד לוי</t>
        </is>
      </c>
      <c r="C8" s="14" t="inlineStr">
        <is>
          <t>החלפת לוח חשמל</t>
        </is>
      </c>
      <c r="D8" s="13" t="inlineStr">
        <is>
          <t>2026-01-08</t>
        </is>
      </c>
      <c r="E8" s="14" t="inlineStr">
        <is>
          <t>עבודת התקנה ובדיקת חשמלאי</t>
        </is>
      </c>
      <c r="F8" s="13" t="inlineStr">
        <is>
          <t>שעה</t>
        </is>
      </c>
      <c r="G8" s="13" t="n">
        <v>6</v>
      </c>
      <c r="H8" s="15" t="n">
        <v>110</v>
      </c>
      <c r="I8" s="16" t="n">
        <v>0</v>
      </c>
      <c r="J8" s="17">
        <f>G8*H8*(1-I8)</f>
        <v/>
      </c>
    </row>
    <row r="9">
      <c r="A9" s="18" t="n"/>
      <c r="B9" s="18" t="n"/>
      <c r="C9" s="18" t="n"/>
      <c r="D9" s="18" t="n"/>
      <c r="E9" s="18" t="n"/>
      <c r="F9" s="18" t="n"/>
      <c r="G9" s="18" t="n"/>
      <c r="H9" s="19" t="n"/>
      <c r="I9" s="20" t="n"/>
      <c r="J9" s="21">
        <f>IF(A9="","",G9*H9*(1-I9))</f>
        <v/>
      </c>
      <c r="K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9" t="n"/>
      <c r="I10" s="20" t="n"/>
      <c r="J10" s="21">
        <f>IF(A10="","",G10*H10*(1-I10))</f>
        <v/>
      </c>
      <c r="K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9" t="n"/>
      <c r="I11" s="20" t="n"/>
      <c r="J11" s="21">
        <f>IF(A11="","",G11*H11*(1-I11))</f>
        <v/>
      </c>
      <c r="K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9" t="n"/>
      <c r="I12" s="20" t="n"/>
      <c r="J12" s="21">
        <f>IF(A12="","",G12*H12*(1-I12))</f>
        <v/>
      </c>
      <c r="K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9" t="n"/>
      <c r="I13" s="20" t="n"/>
      <c r="J13" s="21">
        <f>IF(A13="","",G13*H13*(1-I13))</f>
        <v/>
      </c>
      <c r="K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9" t="n"/>
      <c r="I14" s="20" t="n"/>
      <c r="J14" s="21">
        <f>IF(A14="","",G14*H14*(1-I14))</f>
        <v/>
      </c>
      <c r="K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9" t="n"/>
      <c r="I15" s="20" t="n"/>
      <c r="J15" s="21">
        <f>IF(A15="","",G15*H15*(1-I15))</f>
        <v/>
      </c>
      <c r="K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9" t="n"/>
      <c r="I16" s="20" t="n"/>
      <c r="J16" s="21">
        <f>IF(A16="","",G16*H16*(1-I16))</f>
        <v/>
      </c>
      <c r="K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9" t="n"/>
      <c r="I17" s="20" t="n"/>
      <c r="J17" s="21">
        <f>IF(A17="","",G17*H17*(1-I17))</f>
        <v/>
      </c>
      <c r="K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9" t="n"/>
      <c r="I18" s="20" t="n"/>
      <c r="J18" s="21">
        <f>IF(A18="","",G18*H18*(1-I18))</f>
        <v/>
      </c>
      <c r="K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9" t="n"/>
      <c r="I19" s="20" t="n"/>
      <c r="J19" s="21">
        <f>IF(A19="","",G19*H19*(1-I19))</f>
        <v/>
      </c>
      <c r="K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9" t="n"/>
      <c r="I20" s="20" t="n"/>
      <c r="J20" s="21">
        <f>IF(A20="","",G20*H20*(1-I20))</f>
        <v/>
      </c>
      <c r="K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9" t="n"/>
      <c r="I21" s="20" t="n"/>
      <c r="J21" s="21">
        <f>IF(A21="","",G21*H21*(1-I21))</f>
        <v/>
      </c>
      <c r="K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9" t="n"/>
      <c r="I22" s="20" t="n"/>
      <c r="J22" s="21">
        <f>IF(A22="","",G22*H22*(1-I22))</f>
        <v/>
      </c>
      <c r="K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9" t="n"/>
      <c r="I23" s="20" t="n"/>
      <c r="J23" s="21">
        <f>IF(A23="","",G23*H23*(1-I23))</f>
        <v/>
      </c>
      <c r="K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9" t="n"/>
      <c r="I24" s="20" t="n"/>
      <c r="J24" s="21">
        <f>IF(A24="","",G24*H24*(1-I24))</f>
        <v/>
      </c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9" t="n"/>
      <c r="I25" s="20" t="n"/>
      <c r="J25" s="21">
        <f>IF(A25="","",G25*H25*(1-I25))</f>
        <v/>
      </c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9" t="n"/>
      <c r="I26" s="20" t="n"/>
      <c r="J26" s="21">
        <f>IF(A26="","",G26*H26*(1-I26))</f>
        <v/>
      </c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9" t="n"/>
      <c r="I27" s="20" t="n"/>
      <c r="J27" s="21">
        <f>IF(A27="","",G27*H27*(1-I27))</f>
        <v/>
      </c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9" t="n"/>
      <c r="I28" s="20" t="n"/>
      <c r="J28" s="21">
        <f>IF(A28="","",G28*H28*(1-I28))</f>
        <v/>
      </c>
      <c r="K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9" t="n"/>
      <c r="I29" s="20" t="n"/>
      <c r="J29" s="21">
        <f>IF(A29="","",G29*H29*(1-I29))</f>
        <v/>
      </c>
      <c r="K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9" t="n"/>
      <c r="I30" s="20" t="n"/>
      <c r="J30" s="21">
        <f>IF(A30="","",G30*H30*(1-I30))</f>
        <v/>
      </c>
      <c r="K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9" t="n"/>
      <c r="I31" s="20" t="n"/>
      <c r="J31" s="21">
        <f>IF(A31="","",G31*H31*(1-I31))</f>
        <v/>
      </c>
      <c r="K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9" t="n"/>
      <c r="I32" s="20" t="n"/>
      <c r="J32" s="21">
        <f>IF(A32="","",G32*H32*(1-I32))</f>
        <v/>
      </c>
      <c r="K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9" t="n"/>
      <c r="I33" s="20" t="n"/>
      <c r="J33" s="21">
        <f>IF(A33="","",G33*H33*(1-I33))</f>
        <v/>
      </c>
      <c r="K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9" t="n"/>
      <c r="I34" s="20" t="n"/>
      <c r="J34" s="21">
        <f>IF(A34="","",G34*H34*(1-I34))</f>
        <v/>
      </c>
      <c r="K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9" t="n"/>
      <c r="I35" s="20" t="n"/>
      <c r="J35" s="21">
        <f>IF(A35="","",G35*H35*(1-I35))</f>
        <v/>
      </c>
      <c r="K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9" t="n"/>
      <c r="I36" s="20" t="n"/>
      <c r="J36" s="21">
        <f>IF(A36="","",G36*H36*(1-I36))</f>
        <v/>
      </c>
      <c r="K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9" t="n"/>
      <c r="I37" s="20" t="n"/>
      <c r="J37" s="21">
        <f>IF(A37="","",G37*H37*(1-I37))</f>
        <v/>
      </c>
      <c r="K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9" t="n"/>
      <c r="I38" s="20" t="n"/>
      <c r="J38" s="21">
        <f>IF(A38="","",G38*H38*(1-I38))</f>
        <v/>
      </c>
      <c r="K38" s="18" t="n"/>
    </row>
  </sheetData>
  <mergeCells count="2">
    <mergeCell ref="A2:K2"/>
    <mergeCell ref="A1:K1"/>
  </mergeCells>
  <dataValidations count="1">
    <dataValidation sqref="F4:F38" showDropDown="0" showInputMessage="0" showErrorMessage="0" allowBlank="1" type="list">
      <formula1>"יח',מ"ר,מ"א,שעה,קומפלט,ק"ג,מטר"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EAF7"/>
    <outlinePr summaryBelow="1" summaryRight="1"/>
    <pageSetUpPr/>
  </sheetPr>
  <dimension ref="A1:I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44" customHeight="1">
      <c r="A1" s="11" t="inlineStr">
        <is>
          <t>סיכום הצעות מחיר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שורה אחת לכל מספר הצעה — הסכומים נשאבים אוטומטית מ-שולחן עבודה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34" customHeight="1">
      <c r="A3" s="12" t="inlineStr">
        <is>
          <t>מס' הצעה</t>
        </is>
      </c>
      <c r="B3" s="12" t="inlineStr">
        <is>
          <t>לקוח</t>
        </is>
      </c>
      <c r="C3" s="12" t="inlineStr">
        <is>
          <t>תוקף ההצעה (ימים)</t>
        </is>
      </c>
      <c r="D3" s="12" t="inlineStr">
        <is>
          <t>תנאי תשלום</t>
        </is>
      </c>
      <c r="E3" s="12" t="inlineStr">
        <is>
          <t>מע"מ %</t>
        </is>
      </c>
      <c r="F3" s="12" t="inlineStr">
        <is>
          <t>סה"כ לפני מע"מ</t>
        </is>
      </c>
      <c r="G3" s="12" t="inlineStr">
        <is>
          <t>סה"כ מע"מ</t>
        </is>
      </c>
      <c r="H3" s="12" t="inlineStr">
        <is>
          <t>סה"כ כולל מע"מ</t>
        </is>
      </c>
      <c r="I3" s="12" t="inlineStr">
        <is>
          <t>סטטוס</t>
        </is>
      </c>
    </row>
    <row r="4">
      <c r="A4" s="13" t="inlineStr">
        <is>
          <t>Q-1001</t>
        </is>
      </c>
      <c r="B4" s="14" t="inlineStr">
        <is>
          <t>משפחת כהן</t>
        </is>
      </c>
      <c r="C4" s="13" t="n">
        <v>14</v>
      </c>
      <c r="D4" s="14" t="inlineStr">
        <is>
          <t>50% מקדמה, 50% בסיום</t>
        </is>
      </c>
      <c r="E4" s="16" t="n">
        <v>0.17</v>
      </c>
      <c r="F4" s="21">
        <f>SUMIF('שולחן עבודה'!$A$4:$A$38,A4,'שולחן עבודה'!$J$4:$J$38)</f>
        <v/>
      </c>
      <c r="G4" s="21">
        <f>F4*E4</f>
        <v/>
      </c>
      <c r="H4" s="22">
        <f>F4+G4</f>
        <v/>
      </c>
      <c r="I4" s="23" t="inlineStr">
        <is>
          <t>טיוטה</t>
        </is>
      </c>
    </row>
    <row r="5">
      <c r="A5" s="13" t="inlineStr">
        <is>
          <t>Q-1002</t>
        </is>
      </c>
      <c r="B5" s="14" t="inlineStr">
        <is>
          <t>עו"ד לוי</t>
        </is>
      </c>
      <c r="C5" s="13" t="n">
        <v>14</v>
      </c>
      <c r="D5" s="14" t="inlineStr">
        <is>
          <t>תשלום עם סיום העבודה</t>
        </is>
      </c>
      <c r="E5" s="16" t="n">
        <v>0.17</v>
      </c>
      <c r="F5" s="21">
        <f>SUMIF('שולחן עבודה'!$A$4:$A$38,A5,'שולחן עבודה'!$J$4:$J$38)</f>
        <v/>
      </c>
      <c r="G5" s="21">
        <f>F5*E5</f>
        <v/>
      </c>
      <c r="H5" s="22">
        <f>F5+G5</f>
        <v/>
      </c>
      <c r="I5" s="23" t="inlineStr">
        <is>
          <t>טיוטה</t>
        </is>
      </c>
    </row>
    <row r="6">
      <c r="A6" s="18" t="n"/>
      <c r="B6" s="18" t="n"/>
      <c r="C6" s="18" t="n"/>
      <c r="D6" s="18" t="n"/>
      <c r="E6" s="20" t="n"/>
      <c r="F6" s="21">
        <f>IF(A6="","",SUMIF('שולחן עבודה'!$A$4:$A$38,A6,'שולחן עבודה'!$J$4:$J$38))</f>
        <v/>
      </c>
      <c r="G6" s="21">
        <f>IF(A6="","",F6*E6)</f>
        <v/>
      </c>
      <c r="H6" s="21">
        <f>IF(A6="","",F6+G6)</f>
        <v/>
      </c>
      <c r="I6" s="23" t="n"/>
    </row>
    <row r="7">
      <c r="A7" s="18" t="n"/>
      <c r="B7" s="18" t="n"/>
      <c r="C7" s="18" t="n"/>
      <c r="D7" s="18" t="n"/>
      <c r="E7" s="20" t="n"/>
      <c r="F7" s="21">
        <f>IF(A7="","",SUMIF('שולחן עבודה'!$A$4:$A$38,A7,'שולחן עבודה'!$J$4:$J$38))</f>
        <v/>
      </c>
      <c r="G7" s="21">
        <f>IF(A7="","",F7*E7)</f>
        <v/>
      </c>
      <c r="H7" s="21">
        <f>IF(A7="","",F7+G7)</f>
        <v/>
      </c>
      <c r="I7" s="23" t="n"/>
    </row>
    <row r="8">
      <c r="A8" s="18" t="n"/>
      <c r="B8" s="18" t="n"/>
      <c r="C8" s="18" t="n"/>
      <c r="D8" s="18" t="n"/>
      <c r="E8" s="20" t="n"/>
      <c r="F8" s="21">
        <f>IF(A8="","",SUMIF('שולחן עבודה'!$A$4:$A$38,A8,'שולחן עבודה'!$J$4:$J$38))</f>
        <v/>
      </c>
      <c r="G8" s="21">
        <f>IF(A8="","",F8*E8)</f>
        <v/>
      </c>
      <c r="H8" s="21">
        <f>IF(A8="","",F8+G8)</f>
        <v/>
      </c>
      <c r="I8" s="23" t="n"/>
    </row>
    <row r="9">
      <c r="A9" s="18" t="n"/>
      <c r="B9" s="18" t="n"/>
      <c r="C9" s="18" t="n"/>
      <c r="D9" s="18" t="n"/>
      <c r="E9" s="20" t="n"/>
      <c r="F9" s="21">
        <f>IF(A9="","",SUMIF('שולחן עבודה'!$A$4:$A$38,A9,'שולחן עבודה'!$J$4:$J$38))</f>
        <v/>
      </c>
      <c r="G9" s="21">
        <f>IF(A9="","",F9*E9)</f>
        <v/>
      </c>
      <c r="H9" s="21">
        <f>IF(A9="","",F9+G9)</f>
        <v/>
      </c>
      <c r="I9" s="23" t="n"/>
    </row>
    <row r="10">
      <c r="A10" s="18" t="n"/>
      <c r="B10" s="18" t="n"/>
      <c r="C10" s="18" t="n"/>
      <c r="D10" s="18" t="n"/>
      <c r="E10" s="20" t="n"/>
      <c r="F10" s="21">
        <f>IF(A10="","",SUMIF('שולחן עבודה'!$A$4:$A$38,A10,'שולחן עבודה'!$J$4:$J$38))</f>
        <v/>
      </c>
      <c r="G10" s="21">
        <f>IF(A10="","",F10*E10)</f>
        <v/>
      </c>
      <c r="H10" s="21">
        <f>IF(A10="","",F10+G10)</f>
        <v/>
      </c>
      <c r="I10" s="23" t="n"/>
    </row>
    <row r="11">
      <c r="A11" s="18" t="n"/>
      <c r="B11" s="18" t="n"/>
      <c r="C11" s="18" t="n"/>
      <c r="D11" s="18" t="n"/>
      <c r="E11" s="20" t="n"/>
      <c r="F11" s="21">
        <f>IF(A11="","",SUMIF('שולחן עבודה'!$A$4:$A$38,A11,'שולחן עבודה'!$J$4:$J$38))</f>
        <v/>
      </c>
      <c r="G11" s="21">
        <f>IF(A11="","",F11*E11)</f>
        <v/>
      </c>
      <c r="H11" s="21">
        <f>IF(A11="","",F11+G11)</f>
        <v/>
      </c>
      <c r="I11" s="23" t="n"/>
    </row>
    <row r="12">
      <c r="A12" s="18" t="n"/>
      <c r="B12" s="18" t="n"/>
      <c r="C12" s="18" t="n"/>
      <c r="D12" s="18" t="n"/>
      <c r="E12" s="20" t="n"/>
      <c r="F12" s="21">
        <f>IF(A12="","",SUMIF('שולחן עבודה'!$A$4:$A$38,A12,'שולחן עבודה'!$J$4:$J$38))</f>
        <v/>
      </c>
      <c r="G12" s="21">
        <f>IF(A12="","",F12*E12)</f>
        <v/>
      </c>
      <c r="H12" s="21">
        <f>IF(A12="","",F12+G12)</f>
        <v/>
      </c>
      <c r="I12" s="23" t="n"/>
    </row>
    <row r="13">
      <c r="A13" s="18" t="n"/>
      <c r="B13" s="18" t="n"/>
      <c r="C13" s="18" t="n"/>
      <c r="D13" s="18" t="n"/>
      <c r="E13" s="20" t="n"/>
      <c r="F13" s="21">
        <f>IF(A13="","",SUMIF('שולחן עבודה'!$A$4:$A$38,A13,'שולחן עבודה'!$J$4:$J$38))</f>
        <v/>
      </c>
      <c r="G13" s="21">
        <f>IF(A13="","",F13*E13)</f>
        <v/>
      </c>
      <c r="H13" s="21">
        <f>IF(A13="","",F13+G13)</f>
        <v/>
      </c>
      <c r="I13" s="23" t="n"/>
    </row>
    <row r="14">
      <c r="A14" s="18" t="n"/>
      <c r="B14" s="18" t="n"/>
      <c r="C14" s="18" t="n"/>
      <c r="D14" s="18" t="n"/>
      <c r="E14" s="20" t="n"/>
      <c r="F14" s="21">
        <f>IF(A14="","",SUMIF('שולחן עבודה'!$A$4:$A$38,A14,'שולחן עבודה'!$J$4:$J$38))</f>
        <v/>
      </c>
      <c r="G14" s="21">
        <f>IF(A14="","",F14*E14)</f>
        <v/>
      </c>
      <c r="H14" s="21">
        <f>IF(A14="","",F14+G14)</f>
        <v/>
      </c>
      <c r="I14" s="23" t="n"/>
    </row>
    <row r="15">
      <c r="A15" s="18" t="n"/>
      <c r="B15" s="18" t="n"/>
      <c r="C15" s="18" t="n"/>
      <c r="D15" s="18" t="n"/>
      <c r="E15" s="20" t="n"/>
      <c r="F15" s="21">
        <f>IF(A15="","",SUMIF('שולחן עבודה'!$A$4:$A$38,A15,'שולחן עבודה'!$J$4:$J$38))</f>
        <v/>
      </c>
      <c r="G15" s="21">
        <f>IF(A15="","",F15*E15)</f>
        <v/>
      </c>
      <c r="H15" s="21">
        <f>IF(A15="","",F15+G15)</f>
        <v/>
      </c>
      <c r="I15" s="23" t="n"/>
    </row>
    <row r="16">
      <c r="A16" s="18" t="n"/>
      <c r="B16" s="18" t="n"/>
      <c r="C16" s="18" t="n"/>
      <c r="D16" s="18" t="n"/>
      <c r="E16" s="20" t="n"/>
      <c r="F16" s="21">
        <f>IF(A16="","",SUMIF('שולחן עבודה'!$A$4:$A$38,A16,'שולחן עבודה'!$J$4:$J$38))</f>
        <v/>
      </c>
      <c r="G16" s="21">
        <f>IF(A16="","",F16*E16)</f>
        <v/>
      </c>
      <c r="H16" s="21">
        <f>IF(A16="","",F16+G16)</f>
        <v/>
      </c>
      <c r="I16" s="23" t="n"/>
    </row>
    <row r="17">
      <c r="A17" s="18" t="n"/>
      <c r="B17" s="18" t="n"/>
      <c r="C17" s="18" t="n"/>
      <c r="D17" s="18" t="n"/>
      <c r="E17" s="20" t="n"/>
      <c r="F17" s="21">
        <f>IF(A17="","",SUMIF('שולחן עבודה'!$A$4:$A$38,A17,'שולחן עבודה'!$J$4:$J$38))</f>
        <v/>
      </c>
      <c r="G17" s="21">
        <f>IF(A17="","",F17*E17)</f>
        <v/>
      </c>
      <c r="H17" s="21">
        <f>IF(A17="","",F17+G17)</f>
        <v/>
      </c>
      <c r="I17" s="23" t="n"/>
    </row>
    <row r="18">
      <c r="A18" s="18" t="n"/>
      <c r="B18" s="18" t="n"/>
      <c r="C18" s="18" t="n"/>
      <c r="D18" s="18" t="n"/>
      <c r="E18" s="20" t="n"/>
      <c r="F18" s="21">
        <f>IF(A18="","",SUMIF('שולחן עבודה'!$A$4:$A$38,A18,'שולחן עבודה'!$J$4:$J$38))</f>
        <v/>
      </c>
      <c r="G18" s="21">
        <f>IF(A18="","",F18*E18)</f>
        <v/>
      </c>
      <c r="H18" s="21">
        <f>IF(A18="","",F18+G18)</f>
        <v/>
      </c>
      <c r="I18" s="23" t="n"/>
    </row>
    <row r="19">
      <c r="A19" s="18" t="n"/>
      <c r="B19" s="18" t="n"/>
      <c r="C19" s="18" t="n"/>
      <c r="D19" s="18" t="n"/>
      <c r="E19" s="20" t="n"/>
      <c r="F19" s="21">
        <f>IF(A19="","",SUMIF('שולחן עבודה'!$A$4:$A$38,A19,'שולחן עבודה'!$J$4:$J$38))</f>
        <v/>
      </c>
      <c r="G19" s="21">
        <f>IF(A19="","",F19*E19)</f>
        <v/>
      </c>
      <c r="H19" s="21">
        <f>IF(A19="","",F19+G19)</f>
        <v/>
      </c>
      <c r="I19" s="23" t="n"/>
    </row>
    <row r="20">
      <c r="A20" s="18" t="n"/>
      <c r="B20" s="18" t="n"/>
      <c r="C20" s="18" t="n"/>
      <c r="D20" s="18" t="n"/>
      <c r="E20" s="20" t="n"/>
      <c r="F20" s="21">
        <f>IF(A20="","",SUMIF('שולחן עבודה'!$A$4:$A$38,A20,'שולחן עבודה'!$J$4:$J$38))</f>
        <v/>
      </c>
      <c r="G20" s="21">
        <f>IF(A20="","",F20*E20)</f>
        <v/>
      </c>
      <c r="H20" s="21">
        <f>IF(A20="","",F20+G20)</f>
        <v/>
      </c>
      <c r="I20" s="23" t="n"/>
    </row>
    <row r="21">
      <c r="A21" s="18" t="n"/>
      <c r="B21" s="18" t="n"/>
      <c r="C21" s="18" t="n"/>
      <c r="D21" s="18" t="n"/>
      <c r="E21" s="20" t="n"/>
      <c r="F21" s="21">
        <f>IF(A21="","",SUMIF('שולחן עבודה'!$A$4:$A$38,A21,'שולחן עבודה'!$J$4:$J$38))</f>
        <v/>
      </c>
      <c r="G21" s="21">
        <f>IF(A21="","",F21*E21)</f>
        <v/>
      </c>
      <c r="H21" s="21">
        <f>IF(A21="","",F21+G21)</f>
        <v/>
      </c>
      <c r="I21" s="23" t="n"/>
    </row>
    <row r="22">
      <c r="A22" s="18" t="n"/>
      <c r="B22" s="18" t="n"/>
      <c r="C22" s="18" t="n"/>
      <c r="D22" s="18" t="n"/>
      <c r="E22" s="20" t="n"/>
      <c r="F22" s="21">
        <f>IF(A22="","",SUMIF('שולחן עבודה'!$A$4:$A$38,A22,'שולחן עבודה'!$J$4:$J$38))</f>
        <v/>
      </c>
      <c r="G22" s="21">
        <f>IF(A22="","",F22*E22)</f>
        <v/>
      </c>
      <c r="H22" s="21">
        <f>IF(A22="","",F22+G22)</f>
        <v/>
      </c>
      <c r="I22" s="23" t="n"/>
    </row>
    <row r="23">
      <c r="A23" s="18" t="n"/>
      <c r="B23" s="18" t="n"/>
      <c r="C23" s="18" t="n"/>
      <c r="D23" s="18" t="n"/>
      <c r="E23" s="20" t="n"/>
      <c r="F23" s="21">
        <f>IF(A23="","",SUMIF('שולחן עבודה'!$A$4:$A$38,A23,'שולחן עבודה'!$J$4:$J$38))</f>
        <v/>
      </c>
      <c r="G23" s="21">
        <f>IF(A23="","",F23*E23)</f>
        <v/>
      </c>
      <c r="H23" s="21">
        <f>IF(A23="","",F23+G23)</f>
        <v/>
      </c>
      <c r="I23" s="23" t="n"/>
    </row>
    <row r="24">
      <c r="A24" s="18" t="n"/>
      <c r="B24" s="18" t="n"/>
      <c r="C24" s="18" t="n"/>
      <c r="D24" s="18" t="n"/>
      <c r="E24" s="20" t="n"/>
      <c r="F24" s="21">
        <f>IF(A24="","",SUMIF('שולחן עבודה'!$A$4:$A$38,A24,'שולחן עבודה'!$J$4:$J$38))</f>
        <v/>
      </c>
      <c r="G24" s="21">
        <f>IF(A24="","",F24*E24)</f>
        <v/>
      </c>
      <c r="H24" s="21">
        <f>IF(A24="","",F24+G24)</f>
        <v/>
      </c>
      <c r="I24" s="23" t="n"/>
    </row>
    <row r="25">
      <c r="A25" s="18" t="n"/>
      <c r="B25" s="18" t="n"/>
      <c r="C25" s="18" t="n"/>
      <c r="D25" s="18" t="n"/>
      <c r="E25" s="20" t="n"/>
      <c r="F25" s="21">
        <f>IF(A25="","",SUMIF('שולחן עבודה'!$A$4:$A$38,A25,'שולחן עבודה'!$J$4:$J$38))</f>
        <v/>
      </c>
      <c r="G25" s="21">
        <f>IF(A25="","",F25*E25)</f>
        <v/>
      </c>
      <c r="H25" s="21">
        <f>IF(A25="","",F25+G25)</f>
        <v/>
      </c>
      <c r="I25" s="23" t="n"/>
    </row>
  </sheetData>
  <mergeCells count="2">
    <mergeCell ref="A1:I1"/>
    <mergeCell ref="A2:I2"/>
  </mergeCells>
  <conditionalFormatting sqref="I4:I25">
    <cfRule type="expression" priority="1" dxfId="0">
      <formula>$I4="אושרה"</formula>
    </cfRule>
    <cfRule type="expression" priority="2" dxfId="1">
      <formula>$I4="נשלחה"</formula>
    </cfRule>
    <cfRule type="expression" priority="3" dxfId="2">
      <formula>$I4="נדחתה"</formula>
    </cfRule>
  </conditionalFormatting>
  <dataValidations count="1">
    <dataValidation sqref="I4:I25" showDropDown="0" showInputMessage="0" showErrorMessage="0" allowBlank="1" type="list">
      <formula1>"טיוטה,נשלחה,אושרה,נדחתה"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1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4" t="inlineStr">
        <is>
          <t>1. עברו ללשונית 'שולחן עבודה' והוסיפו סעיף (שורה) לכל פריט עבודה, עם אותו מספר הצעה לכל הסעיפים של אותה הצעה.</t>
        </is>
      </c>
    </row>
    <row r="6" ht="34" customHeight="1">
      <c r="A6" s="24" t="inlineStr">
        <is>
          <t>2. עברו ללשונית 'סיכום הצעות מחיר' והוסיפו שורה אחת לכל מספר הצעה, עם תוקף, תנאי תשלום ומע"מ.</t>
        </is>
      </c>
    </row>
    <row r="8" ht="34" customHeight="1">
      <c r="A8" s="24" t="inlineStr">
        <is>
          <t>3. הסכומים (לפני מע"מ, מע"מ, כולל מע"מ) מחושבים אוטומטית משורות ה-שולחן עבודה.</t>
        </is>
      </c>
    </row>
    <row r="10" ht="34" customHeight="1">
      <c r="A10" s="24" t="inlineStr">
        <is>
          <t>4. עדכנו את הסטטוס (טיוטה/נשלחה/אושרה/נדחתה) ככל שההצעה מתקדמת.</t>
        </is>
      </c>
    </row>
    <row r="12" ht="34" customHeight="1">
      <c r="A12" s="24" t="inlineStr">
        <is>
          <t>5. עברו ל-לוח הבקרה לראות כמה הצעות פתוחות, כמה אושרו, ומה שווי הצינור הכולל.</t>
        </is>
      </c>
    </row>
    <row r="14" ht="40" customHeight="1">
      <c r="A14" s="25" t="inlineStr">
        <is>
          <t>טיפ: להדפסה נוחה ללקוח, סננו את שולחן עבודה לפי מספר הצעה יחיד לפני הדפסה/PDF.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1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6" t="inlineStr">
        <is>
          <t>מה זה?</t>
        </is>
      </c>
      <c r="C4" s="27" t="inlineStr">
        <is>
          <t>כלי לבניית הצעות מחיר מקצועיות מרובות-סעיפים, עם חישוב אוטומטי של סה"כ, הנחות ומע"מ.</t>
        </is>
      </c>
    </row>
    <row r="5" ht="46" customHeight="1">
      <c r="B5" s="26" t="inlineStr">
        <is>
          <t>למי זה מתאים?</t>
        </is>
      </c>
      <c r="C5" s="27" t="inlineStr">
        <is>
          <t>כל בעל מקצוע ששולח הצעות מחיר ללקוחות — קבלנים, חשמלאים, אינסטלטורים, נגרים ועוד.</t>
        </is>
      </c>
    </row>
    <row r="6" ht="46" customHeight="1">
      <c r="B6" s="26" t="inlineStr">
        <is>
          <t>איזו בעיה זה פותר?</t>
        </is>
      </c>
      <c r="C6" s="27" t="inlineStr">
        <is>
          <t>הצעות מחיר לא אחידות, שכחת מע"מ או הנחה, וזמן רב שמושקע בבניית כל הצעה מאפס.</t>
        </is>
      </c>
    </row>
    <row r="7" ht="46" customHeight="1">
      <c r="B7" s="26" t="inlineStr">
        <is>
          <t>איך מתחילים?</t>
        </is>
      </c>
      <c r="C7" s="27" t="inlineStr">
        <is>
          <t>הוסיפו סעיפי עבודה ב-שולחן עבודה, ופרטי הצעה כלליים בסיכום הצעות מחיר.</t>
        </is>
      </c>
    </row>
    <row r="8" ht="46" customHeight="1">
      <c r="B8" s="26" t="inlineStr">
        <is>
          <t>מה צריך להזין?</t>
        </is>
      </c>
      <c r="C8" s="27" t="inlineStr">
        <is>
          <t>מספר הצעה, לקוח, פרויקט, תיאור עבודה, יחידה, כמות, מחיר ליחידה, הנחה %, ותוקף/תנאי תשלום/מע"מ בסיכום.</t>
        </is>
      </c>
    </row>
    <row r="9" ht="46" customHeight="1">
      <c r="B9" s="26" t="inlineStr">
        <is>
          <t>מה מחושב אוטומטית?</t>
        </is>
      </c>
      <c r="C9" s="27" t="inlineStr">
        <is>
          <t>סה"כ לכל סעיף, סה"כ לפני מע"מ, סכום מע"מ, וסה"כ כולל מע"מ לכל הצעה.</t>
        </is>
      </c>
    </row>
    <row r="10" ht="46" customHeight="1">
      <c r="B10" s="26" t="inlineStr">
        <is>
          <t>מה לוח הבקרה מציג?</t>
        </is>
      </c>
      <c r="C10" s="27" t="inlineStr">
        <is>
          <t>סה"כ הצעות, שווי כולל, הצעות שאושרו, אחוז אישור, וגודל הצעה ממוצע.</t>
        </is>
      </c>
    </row>
    <row r="11" ht="46" customHeight="1">
      <c r="B11" s="26" t="inlineStr">
        <is>
          <t>טיפים</t>
        </is>
      </c>
      <c r="C11" s="27" t="inlineStr">
        <is>
          <t>1) שמרו על מספור הצעות עקבי (Q-1001, Q-1002...). 2) עדכנו סטטוס בכל שלב כדי שלוח הבקרה ישקף מצב אמיתי.</t>
        </is>
      </c>
    </row>
    <row r="13">
      <c r="B13" s="28" t="inlineStr">
        <is>
          <t>שאלות נפוצות</t>
        </is>
      </c>
    </row>
    <row r="14" ht="40" customHeight="1">
      <c r="B14" s="29" t="inlineStr">
        <is>
          <t>איך מדפיסים הצעת מחיר ללקוח?</t>
        </is>
      </c>
      <c r="C14" s="27" t="inlineStr">
        <is>
          <t>סננו את שולחן עבודה לפי מספר הצעה בודד, ואת סיכום הצעות מחיר לאותה שורה, והדפיסו/ייצאו כ-PDF (Excel: File &gt; Export &gt; Create PDF).</t>
        </is>
      </c>
    </row>
    <row r="15" ht="40" customHeight="1">
      <c r="B15" s="29" t="inlineStr">
        <is>
          <t>אפשר להוסיף עוד סעיפים להצעה קיימת?</t>
        </is>
      </c>
      <c r="C15" s="27" t="inlineStr">
        <is>
          <t>כן — הוסיפו שורה חדשה ב-שולחן עבודה עם אותו מספר הצעה.</t>
        </is>
      </c>
    </row>
    <row r="16" ht="40" customHeight="1">
      <c r="B16" s="29" t="inlineStr">
        <is>
          <t>מה קורה אם משנים הנחה בדיעבד?</t>
        </is>
      </c>
      <c r="C16" s="27" t="inlineStr">
        <is>
          <t>הסכום מתעדכן אוטומטית בכל השורות והסיכומים.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2026-09-13T19:32:27Z</dcterms:created>
  <dcterms:modified xsi:type="dcterms:W3CDTF">2026-09-13T19:32:27Z</dcterms:modified>
</cp:coreProperties>
</file>